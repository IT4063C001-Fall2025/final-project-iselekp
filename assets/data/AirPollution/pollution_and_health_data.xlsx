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bined" sheetId="1" state="visible" r:id="rId2"/>
    <sheet name="air_poll_mean" sheetId="2" state="visible" r:id="rId3"/>
    <sheet name="coal_mean_per_year" sheetId="3" state="visible" r:id="rId4"/>
    <sheet name="chronic_lung_death_rate" sheetId="4" state="visible" r:id="rId5"/>
    <sheet name="cancer" sheetId="5" state="visible" r:id="rId6"/>
    <sheet name="lung_cancer" sheetId="6" state="visible" r:id="rId7"/>
    <sheet name="life_expect" sheetId="7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<sst xmlns="http://schemas.openxmlformats.org/spreadsheetml/2006/main" count="2892" uniqueCount="501">
  <si>
    <t xml:space="preserve">region</t>
  </si>
  <si>
    <t xml:space="preserve">aqi_value</t>
  </si>
  <si>
    <t xml:space="preserve">Afghanistan</t>
  </si>
  <si>
    <t xml:space="preserve">Albania</t>
  </si>
  <si>
    <t xml:space="preserve">Algeria</t>
  </si>
  <si>
    <t xml:space="preserve">Andorra</t>
  </si>
  <si>
    <t xml:space="preserve">Angola</t>
  </si>
  <si>
    <t xml:space="preserve">Argentina</t>
  </si>
  <si>
    <t xml:space="preserve">Armenia</t>
  </si>
  <si>
    <t xml:space="preserve">Aruba</t>
  </si>
  <si>
    <t xml:space="preserve">Australia</t>
  </si>
  <si>
    <t xml:space="preserve">Austria</t>
  </si>
  <si>
    <t xml:space="preserve">Azerbaijan</t>
  </si>
  <si>
    <t xml:space="preserve">Bahrain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</si>
  <si>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</si>
  <si>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</si>
  <si>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</si>
  <si>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</si>
  <si>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</si>
  <si>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</si>
  <si>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Bhutan</t>
  </si>
  <si>
    <t xml:space="preserve">Bolivia (Plurinational State of)</t>
  </si>
  <si>
    <t xml:space="preserve">Bosnia and Herzegovina</t>
  </si>
  <si>
    <t xml:space="preserve">Botswana</t>
  </si>
  <si>
    <t xml:space="preserve">Brazil</t>
  </si>
  <si>
    <t xml:space="preserve">Bulgaria</t>
  </si>
  <si>
    <t xml:space="preserve">Burkina Faso</t>
  </si>
  <si>
    <t xml:space="preserve">Burundi</t>
  </si>
  <si>
    <t xml:space="preserve">Cabo Verde</t>
  </si>
  <si>
    <t xml:space="preserve">Cambodia</t>
  </si>
  <si>
    <t xml:space="preserve">Cameroon</t>
  </si>
  <si>
    <t xml:space="preserve">Canada</t>
  </si>
  <si>
    <t xml:space="preserve">Central African Republic</t>
  </si>
  <si>
    <t xml:space="preserve">Chad</t>
  </si>
  <si>
    <t xml:space="preserve">Chile</t>
  </si>
  <si>
    <t xml:space="preserve">China</t>
  </si>
  <si>
    <t xml:space="preserve">Colombia</t>
  </si>
  <si>
    <t xml:space="preserve">Comoros</t>
  </si>
  <si>
    <t xml:space="preserve">Congo</t>
  </si>
  <si>
    <t xml:space="preserve">Costa Rica</t>
  </si>
  <si>
    <t xml:space="preserve">Croatia</t>
  </si>
  <si>
    <t xml:space="preserve">Cuba</t>
  </si>
  <si>
    <t xml:space="preserve">Cyprus</t>
  </si>
  <si>
    <t xml:space="preserve">Czechia</t>
  </si>
  <si>
    <t xml:space="preserve">Côte d'Ivoire</t>
  </si>
  <si>
    <t xml:space="preserve">Democratic Republic of the Congo</t>
  </si>
  <si>
    <t xml:space="preserve">Denmark</t>
  </si>
  <si>
    <t xml:space="preserve">Dominican Republic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</si>
  <si>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</si>
  <si>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</si>
  <si>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</si>
  <si>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</si>
  <si>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</si>
  <si>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</si>
  <si>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</si>
  <si>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Finland</t>
  </si>
  <si>
    <t xml:space="preserve">France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</si>
  <si>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</si>
  <si>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</si>
  <si>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</si>
  <si>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</si>
  <si>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</si>
  <si>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Greece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</si>
  <si>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</si>
  <si>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</si>
  <si>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</si>
  <si>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</si>
  <si>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</si>
  <si>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Honduras</t>
  </si>
  <si>
    <t xml:space="preserve">Hungary</t>
  </si>
  <si>
    <t xml:space="preserve">Iceland</t>
  </si>
  <si>
    <t xml:space="preserve">India</t>
  </si>
  <si>
    <t xml:space="preserve">Indonesia</t>
  </si>
  <si>
    <t xml:space="preserve">Iran (Islamic Republic of)</t>
  </si>
  <si>
    <t xml:space="preserve">Iraq</t>
  </si>
  <si>
    <t xml:space="preserve">Ireland</t>
  </si>
  <si>
    <t xml:space="preserve">Israel</t>
  </si>
  <si>
    <t xml:space="preserve">Italy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</si>
  <si>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</si>
  <si>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</si>
  <si>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</si>
  <si>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</si>
  <si>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</si>
  <si>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Kingdom of Eswatini</t>
  </si>
  <si>
    <t xml:space="preserve">Kuwait</t>
  </si>
  <si>
    <t xml:space="preserve">Kyrgyzstan</t>
  </si>
  <si>
    <t xml:space="preserve">Lao People's Democratic Republic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</si>
  <si>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</si>
  <si>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</si>
  <si>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</si>
  <si>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</si>
  <si>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</si>
  <si>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Lithuania</t>
  </si>
  <si>
    <t xml:space="preserve">Luxembourg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</si>
  <si>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</si>
  <si>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</si>
  <si>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</si>
  <si>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</si>
  <si>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</si>
  <si>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</si>
  <si>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Mauritania</t>
  </si>
  <si>
    <t xml:space="preserve">Mauritius</t>
  </si>
  <si>
    <t xml:space="preserve">Mexico</t>
  </si>
  <si>
    <t xml:space="preserve">Monaco</t>
  </si>
  <si>
    <t xml:space="preserve">Mongolia</t>
  </si>
  <si>
    <t xml:space="preserve">Montenegro</t>
  </si>
  <si>
    <t xml:space="preserve">Morocco</t>
  </si>
  <si>
    <t xml:space="preserve">Mozambique</t>
  </si>
  <si>
    <t xml:space="preserve">Myanmar</t>
  </si>
  <si>
    <t xml:space="preserve">Namibia</t>
  </si>
  <si>
    <t xml:space="preserve">Nepal</t>
  </si>
  <si>
    <t xml:space="preserve">Netherlands</t>
  </si>
  <si>
    <t xml:space="preserve">New Zealand</t>
  </si>
  <si>
    <t xml:space="preserve">Nicaragua</t>
  </si>
  <si>
    <t xml:space="preserve">Niger</t>
  </si>
  <si>
    <t xml:space="preserve">Nigeria</t>
  </si>
  <si>
    <t xml:space="preserve">Norway</t>
  </si>
  <si>
    <t xml:space="preserve">Oman</t>
  </si>
  <si>
    <t xml:space="preserve">Pakistan</t>
  </si>
  <si>
    <t xml:space="preserve">Palau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</si>
  <si>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</si>
  <si>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</si>
  <si>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</si>
  <si>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</si>
  <si>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</si>
  <si>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Poland</t>
  </si>
  <si>
    <t xml:space="preserve">Portugal</t>
  </si>
  <si>
    <t xml:space="preserve">Qatar</t>
  </si>
  <si>
    <t xml:space="preserve">Republic of Korea</t>
  </si>
  <si>
    <t xml:space="preserve">Republic of Moldova</t>
  </si>
  <si>
    <t xml:space="preserve">Republic of North Macedonia</t>
  </si>
  <si>
    <t xml:space="preserve">Romania</t>
  </si>
  <si>
    <t xml:space="preserve">Russian Federation</t>
  </si>
  <si>
    <t xml:space="preserve">Rwanda</t>
  </si>
  <si>
    <t xml:space="preserve">Saint Kitts and Nevis</t>
  </si>
  <si>
    <t xml:space="preserve">Saint Lucia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</si>
  <si>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</si>
  <si>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</si>
  <si>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</si>
  <si>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</si>
  <si>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</si>
  <si>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</si>
  <si>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</si>
  <si>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</si>
  <si>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</si>
  <si>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</si>
  <si>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</si>
  <si>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Sudan</t>
  </si>
  <si>
    <t xml:space="preserve">Spain</t>
  </si>
  <si>
    <t xml:space="preserve">Sri Lanka</t>
  </si>
  <si>
    <t xml:space="preserve">State of Palestine</t>
  </si>
  <si>
    <t xml:space="preserve">Sudan</t>
  </si>
  <si>
    <t xml:space="preserve">Suriname</t>
  </si>
  <si>
    <t xml:space="preserve">Sweden</t>
  </si>
  <si>
    <t xml:space="preserve">Switzerland</t>
  </si>
  <si>
    <t xml:space="preserve">Syrian Arab Republic</t>
  </si>
  <si>
    <t xml:space="preserve">Tajikistan</t>
  </si>
  <si>
    <t xml:space="preserve">Thailand</t>
  </si>
  <si>
    <t xml:space="preserve">Togo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</si>
  <si>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</si>
  <si>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</si>
  <si>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</si>
  <si>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</si>
  <si>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Uganda</t>
  </si>
  <si>
    <t xml:space="preserve">Ukraine</t>
  </si>
  <si>
    <t xml:space="preserve">United Arab Emirates</t>
  </si>
  <si>
    <t xml:space="preserve">United Kingdom of Great Britain and Northern Ireland</t>
  </si>
  <si>
    <t xml:space="preserve">United Republic of Tanzania</t>
  </si>
  <si>
    <t xml:space="preserve">United States of America</t>
  </si>
  <si>
    <t xml:space="preserve">Uruguay</t>
  </si>
  <si>
    <t xml:space="preserve">Uzbekistan</t>
  </si>
  <si>
    <t xml:space="preserve">Vanuatu</t>
  </si>
  <si>
    <t xml:space="preserve">Venezuela (Bolivarian Republic of)</t>
  </si>
  <si>
    <t xml:space="preserve">Viet Nam</t>
  </si>
  <si>
    <t xml:space="preserve">Yemen</t>
  </si>
  <si>
    <t xml:space="preserve">Zambia</t>
  </si>
  <si>
    <t xml:space="preserve">Zimbabwe</t>
  </si>
  <si>
    <t xml:space="preserve">coal_consumption_twh</t>
  </si>
  <si>
    <t xml:space="preserve">Africa</t>
  </si>
  <si>
    <t xml:space="preserve">Africa (EI)</t>
  </si>
  <si>
    <t xml:space="preserve">Asia</t>
  </si>
  <si>
    <t xml:space="preserve">Asia Pacific (EI)</t>
  </si>
  <si>
    <t xml:space="preserve">CIS (EI)</t>
  </si>
  <si>
    <t xml:space="preserve">Central America (EI)</t>
  </si>
  <si>
    <t xml:space="preserve">Eastern Africa (EI)</t>
  </si>
  <si>
    <t xml:space="preserve">Europe</t>
  </si>
  <si>
    <t xml:space="preserve">Europe (EI)</t>
  </si>
  <si>
    <t xml:space="preserve">European Union (27)</t>
  </si>
  <si>
    <t xml:space="preserve">High-income countries</t>
  </si>
  <si>
    <t xml:space="preserve">Hong Kong</t>
  </si>
  <si>
    <t xml:space="preserve">Iran</t>
  </si>
  <si>
    <t xml:space="preserve">Lower-middle-income countries</t>
  </si>
  <si>
    <t xml:space="preserve">Middle Africa (EI)</t>
  </si>
  <si>
    <t xml:space="preserve">Middle East (EI)</t>
  </si>
  <si>
    <t xml:space="preserve">Non-OECD (EI)</t>
  </si>
  <si>
    <t xml:space="preserve">North America</t>
  </si>
  <si>
    <t xml:space="preserve">North America (EI)</t>
  </si>
  <si>
    <t xml:space="preserve">North Macedonia</t>
  </si>
  <si>
    <t xml:space="preserve">OECD (EI)</t>
  </si>
  <si>
    <t xml:space="preserve">Oceania</t>
  </si>
  <si>
    <t xml:space="preserve">Other Asia Pacific (EI)</t>
  </si>
  <si>
    <t xml:space="preserve">Other CIS (EI)</t>
  </si>
  <si>
    <t xml:space="preserve">Other Caribbean (EI)</t>
  </si>
  <si>
    <t xml:space="preserve">Other Europe (EI)</t>
  </si>
  <si>
    <t xml:space="preserve">Other Middle East (EI)</t>
  </si>
  <si>
    <t xml:space="preserve">Other Northern Africa (EI)</t>
  </si>
  <si>
    <t xml:space="preserve">Other South America (EI)</t>
  </si>
  <si>
    <t xml:space="preserve">Other Southern Africa (EI)</t>
  </si>
  <si>
    <t xml:space="preserve">Russia</t>
  </si>
  <si>
    <t xml:space="preserve">South America</t>
  </si>
  <si>
    <t xml:space="preserve">South Korea</t>
  </si>
  <si>
    <t xml:space="preserve">South and Central America (EI)</t>
  </si>
  <si>
    <t xml:space="preserve">Taiwan</t>
  </si>
  <si>
    <t xml:space="preserve">USSR</t>
  </si>
  <si>
    <t xml:space="preserve">United Kingdom</t>
  </si>
  <si>
    <t xml:space="preserve">United States</t>
  </si>
  <si>
    <t xml:space="preserve">Upper-middle-income countries</t>
  </si>
  <si>
    <t xml:space="preserve">Venezuela</t>
  </si>
  <si>
    <t xml:space="preserve">Vietnam</t>
  </si>
  <si>
    <t xml:space="preserve">Western Africa (EI)</t>
  </si>
  <si>
    <t xml:space="preserve">World</t>
  </si>
  <si>
    <t xml:space="preserve">measure_name</t>
  </si>
  <si>
    <t xml:space="preserve">cause_name</t>
  </si>
  <si>
    <t xml:space="preserve">metric_name</t>
  </si>
  <si>
    <t xml:space="preserve">year</t>
  </si>
  <si>
    <t xml:space="preserve">lung_disease_death_rate</t>
  </si>
  <si>
    <t xml:space="preserve">Deaths</t>
  </si>
  <si>
    <t xml:space="preserve">Chronic respiratory diseases</t>
  </si>
  <si>
    <t xml:space="preserve">Rate</t>
  </si>
  <si>
    <t xml:space="preserve">Samoa</t>
  </si>
  <si>
    <t xml:space="preserve">Palestine</t>
  </si>
  <si>
    <t xml:space="preserve">Greenland</t>
  </si>
  <si>
    <t xml:space="preserve">Guam</t>
  </si>
  <si>
    <t xml:space="preserve">Brunei Darussalam</t>
  </si>
  <si>
    <t xml:space="preserve">Tonga</t>
  </si>
  <si>
    <t xml:space="preserve">Fiji</t>
  </si>
  <si>
    <t xml:space="preserve">Bahamas</t>
  </si>
  <si>
    <t xml:space="preserve">Saint Vincent and the Grenadines</t>
  </si>
  <si>
    <t xml:space="preserve">Kiribati</t>
  </si>
  <si>
    <t xml:space="preserve">Nauru</t>
  </si>
  <si>
    <t xml:space="preserve">Marshall Islands</t>
  </si>
  <si>
    <t xml:space="preserve">Dominica</t>
  </si>
  <si>
    <t xml:space="preserve">American Samoa</t>
  </si>
  <si>
    <t xml:space="preserve">Bermuda</t>
  </si>
  <si>
    <t xml:space="preserve">Micronesia (Federated States of)</t>
  </si>
  <si>
    <t xml:space="preserve">Cook Islands</t>
  </si>
  <si>
    <t xml:space="preserve">Sao Tome and Principe</t>
  </si>
  <si>
    <t xml:space="preserve">Niue</t>
  </si>
  <si>
    <t xml:space="preserve">Northern Mariana Islands</t>
  </si>
  <si>
    <t xml:space="preserve">Puerto Rico</t>
  </si>
  <si>
    <t xml:space="preserve">Djibouti</t>
  </si>
  <si>
    <t xml:space="preserve">Tokelau</t>
  </si>
  <si>
    <t xml:space="preserve">San Marino</t>
  </si>
  <si>
    <t xml:space="preserve">Eswatini</t>
  </si>
  <si>
    <t xml:space="preserve">Democratic People's Republic of Korea</t>
  </si>
  <si>
    <t xml:space="preserve">Tuvalu</t>
  </si>
  <si>
    <t xml:space="preserve">Taiwan (Province of China)</t>
  </si>
  <si>
    <t xml:space="preserve">United States Virgin Islands</t>
  </si>
  <si>
    <t xml:space="preserve">Grenada</t>
  </si>
  <si>
    <t xml:space="preserve">Timor-Leste</t>
  </si>
  <si>
    <t xml:space="preserve">Antigua and Barbuda</t>
  </si>
  <si>
    <t xml:space="preserve">DALYs (Disability-Adjusted Life Years)</t>
  </si>
  <si>
    <t xml:space="preserve">Population</t>
  </si>
  <si>
    <t xml:space="preserve">Alpha‑3 code</t>
  </si>
  <si>
    <t xml:space="preserve">Cancer id</t>
  </si>
  <si>
    <t xml:space="preserve">Cancer prevalence per 100 000</t>
  </si>
  <si>
    <t xml:space="preserve">AFG</t>
  </si>
  <si>
    <t xml:space="preserve">ALB</t>
  </si>
  <si>
    <t xml:space="preserve">DZA</t>
  </si>
  <si>
    <t xml:space="preserve">AGO</t>
  </si>
  <si>
    <t xml:space="preserve">AZE</t>
  </si>
  <si>
    <t xml:space="preserve">ARG</t>
  </si>
  <si>
    <t xml:space="preserve">AUS</t>
  </si>
  <si>
    <t xml:space="preserve">AUT</t>
  </si>
  <si>
    <t xml:space="preserve">BHS</t>
  </si>
  <si>
    <t xml:space="preserve">BHR</t>
  </si>
  <si>
    <t xml:space="preserve">BGD</t>
  </si>
  <si>
    <t xml:space="preserve">ARM</t>
  </si>
  <si>
    <t xml:space="preserve">BRB</t>
  </si>
  <si>
    <t xml:space="preserve">BEL</t>
  </si>
  <si>
    <t xml:space="preserve">BTN</t>
  </si>
  <si>
    <t xml:space="preserve">BOL</t>
  </si>
  <si>
    <t xml:space="preserve">Bosnia Herzegovina</t>
  </si>
  <si>
    <t xml:space="preserve">BIH</t>
  </si>
  <si>
    <t xml:space="preserve">BWA</t>
  </si>
  <si>
    <t xml:space="preserve">BRA</t>
  </si>
  <si>
    <t xml:space="preserve">BLZ</t>
  </si>
  <si>
    <t xml:space="preserve">SLB</t>
  </si>
  <si>
    <t xml:space="preserve">BRN</t>
  </si>
  <si>
    <t xml:space="preserve">BGR</t>
  </si>
  <si>
    <t xml:space="preserve">MMR</t>
  </si>
  <si>
    <t xml:space="preserve">BDI</t>
  </si>
  <si>
    <t xml:space="preserve">BLR</t>
  </si>
  <si>
    <t xml:space="preserve">KHM</t>
  </si>
  <si>
    <t xml:space="preserve">CMR</t>
  </si>
  <si>
    <t xml:space="preserve">CAN</t>
  </si>
  <si>
    <t xml:space="preserve">Cape Verde</t>
  </si>
  <si>
    <t xml:space="preserve">CPV</t>
  </si>
  <si>
    <t xml:space="preserve">CAF</t>
  </si>
  <si>
    <t xml:space="preserve">LKA</t>
  </si>
  <si>
    <t xml:space="preserve">TCD</t>
  </si>
  <si>
    <t xml:space="preserve">CHL</t>
  </si>
  <si>
    <t xml:space="preserve">CHN</t>
  </si>
  <si>
    <t xml:space="preserve">COL</t>
  </si>
  <si>
    <t xml:space="preserve">COM</t>
  </si>
  <si>
    <t xml:space="preserve">Congo, Republic of</t>
  </si>
  <si>
    <t xml:space="preserve">COG</t>
  </si>
  <si>
    <t xml:space="preserve">Congo, Democratic Republic of</t>
  </si>
  <si>
    <t xml:space="preserve">COD</t>
  </si>
  <si>
    <t xml:space="preserve">CRI</t>
  </si>
  <si>
    <t xml:space="preserve">HRV</t>
  </si>
  <si>
    <t xml:space="preserve">CUB</t>
  </si>
  <si>
    <t xml:space="preserve">CYP</t>
  </si>
  <si>
    <t xml:space="preserve">CZE</t>
  </si>
  <si>
    <t xml:space="preserve">BEN</t>
  </si>
  <si>
    <t xml:space="preserve">DNK</t>
  </si>
  <si>
    <t xml:space="preserve">DOM</t>
  </si>
  <si>
    <t xml:space="preserve">ECU</t>
  </si>
  <si>
    <t xml:space="preserve">SLV</t>
  </si>
  <si>
    <t xml:space="preserve">GNQ</t>
  </si>
  <si>
    <t xml:space="preserve">ETH</t>
  </si>
  <si>
    <t xml:space="preserve">ERI</t>
  </si>
  <si>
    <t xml:space="preserve">EST</t>
  </si>
  <si>
    <t xml:space="preserve">FJI</t>
  </si>
  <si>
    <t xml:space="preserve">FIN</t>
  </si>
  <si>
    <t xml:space="preserve">France (metropolitan)</t>
  </si>
  <si>
    <t xml:space="preserve">FRA</t>
  </si>
  <si>
    <t xml:space="preserve">French Guyana</t>
  </si>
  <si>
    <t xml:space="preserve">GUF</t>
  </si>
  <si>
    <t xml:space="preserve">French Polynesia</t>
  </si>
  <si>
    <t xml:space="preserve">PYF</t>
  </si>
  <si>
    <t xml:space="preserve">DJI</t>
  </si>
  <si>
    <t xml:space="preserve">GAB</t>
  </si>
  <si>
    <t xml:space="preserve">GEO</t>
  </si>
  <si>
    <t xml:space="preserve">The Republic of the Gambia</t>
  </si>
  <si>
    <t xml:space="preserve">GMB</t>
  </si>
  <si>
    <t xml:space="preserve">Gaza Strip and West Bank</t>
  </si>
  <si>
    <t xml:space="preserve">PSE</t>
  </si>
  <si>
    <t xml:space="preserve">DEU</t>
  </si>
  <si>
    <t xml:space="preserve">GHA</t>
  </si>
  <si>
    <t xml:space="preserve">GRC</t>
  </si>
  <si>
    <t xml:space="preserve">France, Guadeloupe</t>
  </si>
  <si>
    <t xml:space="preserve">GLP</t>
  </si>
  <si>
    <t xml:space="preserve">GUM</t>
  </si>
  <si>
    <t xml:space="preserve">GTM</t>
  </si>
  <si>
    <t xml:space="preserve">GIN</t>
  </si>
  <si>
    <t xml:space="preserve">GUY</t>
  </si>
  <si>
    <t xml:space="preserve">HTI</t>
  </si>
  <si>
    <t xml:space="preserve">HND</t>
  </si>
  <si>
    <t xml:space="preserve">HUN</t>
  </si>
  <si>
    <t xml:space="preserve">ISL</t>
  </si>
  <si>
    <t xml:space="preserve">IND</t>
  </si>
  <si>
    <t xml:space="preserve">IDN</t>
  </si>
  <si>
    <t xml:space="preserve">Iran, Islamic Republic of</t>
  </si>
  <si>
    <t xml:space="preserve">IRN</t>
  </si>
  <si>
    <t xml:space="preserve">IRQ</t>
  </si>
  <si>
    <t xml:space="preserve">IRL</t>
  </si>
  <si>
    <t xml:space="preserve">ISR</t>
  </si>
  <si>
    <t xml:space="preserve">ITA</t>
  </si>
  <si>
    <t xml:space="preserve">CIV</t>
  </si>
  <si>
    <t xml:space="preserve">JAM</t>
  </si>
  <si>
    <t xml:space="preserve">JPN</t>
  </si>
  <si>
    <t xml:space="preserve">KAZ</t>
  </si>
  <si>
    <t xml:space="preserve">JOR</t>
  </si>
  <si>
    <t xml:space="preserve">KEN</t>
  </si>
  <si>
    <t xml:space="preserve">Korea, Democratic People Republic of</t>
  </si>
  <si>
    <t xml:space="preserve">PRK</t>
  </si>
  <si>
    <t xml:space="preserve">Korea, Republic of</t>
  </si>
  <si>
    <t xml:space="preserve">KOR</t>
  </si>
  <si>
    <t xml:space="preserve">KWT</t>
  </si>
  <si>
    <t xml:space="preserve">KGZ</t>
  </si>
  <si>
    <t xml:space="preserve">LAO</t>
  </si>
  <si>
    <t xml:space="preserve">LBN</t>
  </si>
  <si>
    <t xml:space="preserve">LSO</t>
  </si>
  <si>
    <t xml:space="preserve">LVA</t>
  </si>
  <si>
    <t xml:space="preserve">LBR</t>
  </si>
  <si>
    <t xml:space="preserve">LBY</t>
  </si>
  <si>
    <t xml:space="preserve">LTU</t>
  </si>
  <si>
    <t xml:space="preserve">LUX</t>
  </si>
  <si>
    <t xml:space="preserve">MDG</t>
  </si>
  <si>
    <t xml:space="preserve">MWI</t>
  </si>
  <si>
    <t xml:space="preserve">MYS</t>
  </si>
  <si>
    <t xml:space="preserve">MDV</t>
  </si>
  <si>
    <t xml:space="preserve">MLI</t>
  </si>
  <si>
    <t xml:space="preserve">MLT</t>
  </si>
  <si>
    <t xml:space="preserve">France, Martinique</t>
  </si>
  <si>
    <t xml:space="preserve">MTQ</t>
  </si>
  <si>
    <t xml:space="preserve">MRT</t>
  </si>
  <si>
    <t xml:space="preserve">MUS</t>
  </si>
  <si>
    <t xml:space="preserve">MEX</t>
  </si>
  <si>
    <t xml:space="preserve">MNG</t>
  </si>
  <si>
    <t xml:space="preserve">MDA</t>
  </si>
  <si>
    <t xml:space="preserve">MNE</t>
  </si>
  <si>
    <t xml:space="preserve">MAR</t>
  </si>
  <si>
    <t xml:space="preserve">MOZ</t>
  </si>
  <si>
    <t xml:space="preserve">OMN</t>
  </si>
  <si>
    <t xml:space="preserve">NAM</t>
  </si>
  <si>
    <t xml:space="preserve">NPL</t>
  </si>
  <si>
    <t xml:space="preserve">The Netherlands</t>
  </si>
  <si>
    <t xml:space="preserve">NLD</t>
  </si>
  <si>
    <t xml:space="preserve">New Caledonia</t>
  </si>
  <si>
    <t xml:space="preserve">NCL</t>
  </si>
  <si>
    <t xml:space="preserve">VUT</t>
  </si>
  <si>
    <t xml:space="preserve">NZL</t>
  </si>
  <si>
    <t xml:space="preserve">NIC</t>
  </si>
  <si>
    <t xml:space="preserve">NER</t>
  </si>
  <si>
    <t xml:space="preserve">NGA</t>
  </si>
  <si>
    <t xml:space="preserve">NOR</t>
  </si>
  <si>
    <t xml:space="preserve">PAK</t>
  </si>
  <si>
    <t xml:space="preserve">PAN</t>
  </si>
  <si>
    <t xml:space="preserve">PNG</t>
  </si>
  <si>
    <t xml:space="preserve">PRY</t>
  </si>
  <si>
    <t xml:space="preserve">PER</t>
  </si>
  <si>
    <t xml:space="preserve">PHL</t>
  </si>
  <si>
    <t xml:space="preserve">POL</t>
  </si>
  <si>
    <t xml:space="preserve">PRT</t>
  </si>
  <si>
    <t xml:space="preserve">GNB</t>
  </si>
  <si>
    <t xml:space="preserve">TLS</t>
  </si>
  <si>
    <t xml:space="preserve">PRI</t>
  </si>
  <si>
    <t xml:space="preserve">QAT</t>
  </si>
  <si>
    <t xml:space="preserve">France, La Réunion</t>
  </si>
  <si>
    <t xml:space="preserve">REU</t>
  </si>
  <si>
    <t xml:space="preserve">ROU</t>
  </si>
  <si>
    <t xml:space="preserve">RUS</t>
  </si>
  <si>
    <t xml:space="preserve">RWA</t>
  </si>
  <si>
    <t xml:space="preserve">LCA</t>
  </si>
  <si>
    <t xml:space="preserve">STP</t>
  </si>
  <si>
    <t xml:space="preserve">SAU</t>
  </si>
  <si>
    <t xml:space="preserve">SEN</t>
  </si>
  <si>
    <t xml:space="preserve">SRB</t>
  </si>
  <si>
    <t xml:space="preserve">SLE</t>
  </si>
  <si>
    <t xml:space="preserve">SGP</t>
  </si>
  <si>
    <t xml:space="preserve">SVK</t>
  </si>
  <si>
    <t xml:space="preserve">VNM</t>
  </si>
  <si>
    <t xml:space="preserve">SVN</t>
  </si>
  <si>
    <t xml:space="preserve">SOM</t>
  </si>
  <si>
    <t xml:space="preserve">ZAF</t>
  </si>
  <si>
    <t xml:space="preserve">ZWE</t>
  </si>
  <si>
    <t xml:space="preserve">ESP</t>
  </si>
  <si>
    <t xml:space="preserve">SSD</t>
  </si>
  <si>
    <t xml:space="preserve">SDN</t>
  </si>
  <si>
    <t xml:space="preserve">SUR</t>
  </si>
  <si>
    <t xml:space="preserve">SWZ</t>
  </si>
  <si>
    <t xml:space="preserve">SWE</t>
  </si>
  <si>
    <t xml:space="preserve">CHE</t>
  </si>
  <si>
    <t xml:space="preserve">SYR</t>
  </si>
  <si>
    <t xml:space="preserve">TJK</t>
  </si>
  <si>
    <t xml:space="preserve">THA</t>
  </si>
  <si>
    <t xml:space="preserve">TGO</t>
  </si>
  <si>
    <t xml:space="preserve">TTO</t>
  </si>
  <si>
    <t xml:space="preserve">ARE</t>
  </si>
  <si>
    <t xml:space="preserve">TUN</t>
  </si>
  <si>
    <t xml:space="preserve">Türkiye</t>
  </si>
  <si>
    <t xml:space="preserve">TUR</t>
  </si>
  <si>
    <t xml:space="preserve">TKM</t>
  </si>
  <si>
    <t xml:space="preserve">UGA</t>
  </si>
  <si>
    <t xml:space="preserve">UKR</t>
  </si>
  <si>
    <t xml:space="preserve">MKD</t>
  </si>
  <si>
    <t xml:space="preserve">EGY</t>
  </si>
  <si>
    <t xml:space="preserve">GBR</t>
  </si>
  <si>
    <t xml:space="preserve">Tanzania, United Republic of</t>
  </si>
  <si>
    <t xml:space="preserve">TZA</t>
  </si>
  <si>
    <t xml:space="preserve">USA</t>
  </si>
  <si>
    <t xml:space="preserve">BFA</t>
  </si>
  <si>
    <t xml:space="preserve">URY</t>
  </si>
  <si>
    <t xml:space="preserve">UZB</t>
  </si>
  <si>
    <t xml:space="preserve">VEN</t>
  </si>
  <si>
    <t xml:space="preserve">WSM</t>
  </si>
  <si>
    <t xml:space="preserve">YEM</t>
  </si>
  <si>
    <t xml:space="preserve">ZMB</t>
  </si>
  <si>
    <t xml:space="preserve">Lung cancer prevalence per 100 000</t>
  </si>
  <si>
    <t xml:space="preserve">Locations</t>
  </si>
  <si>
    <t xml:space="preserve">Life expectancy overall</t>
  </si>
  <si>
    <t xml:space="preserve">at birth</t>
  </si>
  <si>
    <t xml:space="preserve">Réunion</t>
  </si>
  <si>
    <t xml:space="preserve">Guernsey</t>
  </si>
  <si>
    <t xml:space="preserve">Macau</t>
  </si>
  <si>
    <t xml:space="preserve">Martinique</t>
  </si>
  <si>
    <t xml:space="preserve">Guadeloupe</t>
  </si>
  <si>
    <t xml:space="preserve">Isle of Man</t>
  </si>
  <si>
    <t xml:space="preserve">Cayman Islands</t>
  </si>
  <si>
    <t xml:space="preserve">Faroe Islands</t>
  </si>
  <si>
    <t xml:space="preserve">Czech Republic</t>
  </si>
  <si>
    <t xml:space="preserve">Jersey</t>
  </si>
  <si>
    <t xml:space="preserve">Kosovo</t>
  </si>
  <si>
    <t xml:space="preserve">French Guiana</t>
  </si>
  <si>
    <t xml:space="preserve">Curaçao</t>
  </si>
  <si>
    <t xml:space="preserve">Mayotte</t>
  </si>
  <si>
    <t xml:space="preserve">U.S. Virgin Islands</t>
  </si>
  <si>
    <t xml:space="preserve">Brunei</t>
  </si>
  <si>
    <t xml:space="preserve">North Korea</t>
  </si>
  <si>
    <t xml:space="preserve">Syria</t>
  </si>
  <si>
    <t xml:space="preserve">Western Sahara</t>
  </si>
  <si>
    <t xml:space="preserve">Moldova</t>
  </si>
  <si>
    <t xml:space="preserve">São Tomé and Príncipe</t>
  </si>
  <si>
    <t xml:space="preserve">Laos</t>
  </si>
  <si>
    <t xml:space="preserve">Bolivia</t>
  </si>
  <si>
    <t xml:space="preserve">Micronesia</t>
  </si>
  <si>
    <t xml:space="preserve">Tanzania</t>
  </si>
  <si>
    <t xml:space="preserve">Ivory Coast</t>
  </si>
  <si>
    <t xml:space="preserve">DR Congo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</si>
</sst>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ourier New"/>
      <family val="3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" activeCellId="0" sqref="I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7.12"/>
    <col collapsed="false" customWidth="true" hidden="false" outlineLevel="0" max="2" min="2" style="0" width="20.58"/>
    <col collapsed="false" customWidth="true" hidden="false" outlineLevel="0" max="3" min="3" style="0" width="19.75"/>
    <col collapsed="false" customWidth="true" hidden="false" outlineLevel="0" max="4" min="4" style="0" width="20.85"/>
    <col collapsed="false" customWidth="true" hidden="false" outlineLevel="0" max="5" min="5" style="0" width="26.42"/>
    <col collapsed="false" customWidth="true" hidden="false" outlineLevel="0" max="6" min="6" style="0" width="31.01"/>
    <col collapsed="false" customWidth="true" hidden="false" outlineLevel="0" max="7" min="7" style="0" width="20.72"/>
  </cols>
  <sheetData>
    <row r="1" customFormat="false" ht="12.8" hidden="false" customHeight="false" outlineLevel="0" collapsed="false">
      <c r="A1" s="0" t="str">
        <f aca="false">air_poll_mean!B1</f>
        <v>region</v>
      </c>
      <c r="B1" s="0" t="str">
        <f aca="false">air_poll_mean!C1</f>
        <v>aqi_value</v>
      </c>
      <c r="C1" s="0" t="str">
        <f aca="false">coal_mean_per_year!C1</f>
        <v>coal_consumption_twh</v>
      </c>
      <c r="D1" s="0" t="str">
        <f aca="false">chronic_lung_death_rate!G1</f>
        <v>lung_disease_death_rate</v>
      </c>
      <c r="E1" s="0" t="str">
        <f aca="false">cancer!E1</f>
        <v>Cancer prevalence per 100 000</v>
      </c>
      <c r="F1" s="0" t="str">
        <f aca="false">lung_cancer!E1</f>
        <v>Lung cancer prevalence per 100 000</v>
      </c>
      <c r="G1" s="0" t="str">
        <f aca="false">life_expect!C1</f>
        <v>Life expectancy overall</v>
      </c>
    </row>
    <row r="2" customFormat="false" ht="12.8" hidden="false" customHeight="false" outlineLevel="0" collapsed="false">
      <c r="A2" s="0" t="str">
        <f aca="false">air_poll_mean!B2</f>
        <v>Afghanistan</v>
      </c>
      <c r="B2" s="0" t="n">
        <f aca="false">air_poll_mean!C2</f>
        <v>95.9591836734694</v>
      </c>
      <c r="C2" s="1" t="e">
        <f aca="false">VLOOKUP(combined!A2,coal_mean_per_year!B:C,2,0)</f>
        <v>#N/A</v>
      </c>
      <c r="D2" s="1" t="n">
        <f aca="false">VLOOKUP(combined!A2,chronic_lung_death_rate!B:G,6,0)</f>
        <v>12.1375451283586</v>
      </c>
      <c r="E2" s="1" t="n">
        <f aca="false">VLOOKUP(combined!A2,cancer!B:E,4,0)</f>
        <v>52.53</v>
      </c>
      <c r="F2" s="1" t="n">
        <f aca="false">VLOOKUP(combined!A2,lung_cancer!B:E,4,0)</f>
        <v>3.9</v>
      </c>
      <c r="G2" s="1" t="n">
        <f aca="false">VLOOKUP(combined!A2,life_expect!B:C,2,0)</f>
        <v>66.03</v>
      </c>
    </row>
    <row r="3" customFormat="false" ht="12.8" hidden="false" customHeight="false" outlineLevel="0" collapsed="false">
      <c r="A3" s="0" t="str">
        <f aca="false">air_poll_mean!B3</f>
        <v>Albania</v>
      </c>
      <c r="B3" s="0" t="n">
        <f aca="false">air_poll_mean!C3</f>
        <v>68.25</v>
      </c>
      <c r="C3" s="1" t="e">
        <f aca="false">VLOOKUP(combined!A3,coal_mean_per_year!B:C,2,0)</f>
        <v>#N/A</v>
      </c>
      <c r="D3" s="1" t="n">
        <f aca="false">VLOOKUP(combined!A3,chronic_lung_death_rate!B:G,6,0)</f>
        <v>45.2402504699056</v>
      </c>
      <c r="E3" s="1" t="n">
        <f aca="false">VLOOKUP(combined!A3,cancer!B:E,4,0)</f>
        <v>109.75</v>
      </c>
      <c r="F3" s="1" t="n">
        <f aca="false">VLOOKUP(combined!A3,lung_cancer!B:E,4,0)</f>
        <v>13.19</v>
      </c>
      <c r="G3" s="1" t="n">
        <f aca="false">VLOOKUP(combined!A3,life_expect!B:C,2,0)</f>
        <v>79.6</v>
      </c>
    </row>
    <row r="4" customFormat="false" ht="12.8" hidden="false" customHeight="false" outlineLevel="0" collapsed="false">
      <c r="A4" s="0" t="str">
        <f aca="false">air_poll_mean!B4</f>
        <v>Algeria</v>
      </c>
      <c r="B4" s="0" t="n">
        <f aca="false">air_poll_mean!C4</f>
        <v>88.1666666666667</v>
      </c>
      <c r="C4" s="1" t="n">
        <f aca="false">VLOOKUP(combined!A4,coal_mean_per_year!B:C,2,0)</f>
        <v>4.62279976816667</v>
      </c>
      <c r="D4" s="1" t="n">
        <f aca="false">VLOOKUP(combined!A4,chronic_lung_death_rate!B:G,6,0)</f>
        <v>20.6832920709354</v>
      </c>
      <c r="E4" s="1" t="n">
        <f aca="false">VLOOKUP(combined!A4,cancer!B:E,4,0)</f>
        <v>96.31</v>
      </c>
      <c r="F4" s="1" t="n">
        <f aca="false">VLOOKUP(combined!A4,lung_cancer!B:E,4,0)</f>
        <v>5.97</v>
      </c>
      <c r="G4" s="1" t="n">
        <f aca="false">VLOOKUP(combined!A4,life_expect!B:C,2,0)</f>
        <v>76.26</v>
      </c>
    </row>
    <row r="5" customFormat="false" ht="12.8" hidden="false" customHeight="false" outlineLevel="0" collapsed="false">
      <c r="A5" s="0" t="str">
        <f aca="false">air_poll_mean!B5</f>
        <v>Andorra</v>
      </c>
      <c r="B5" s="0" t="n">
        <f aca="false">air_poll_mean!C5</f>
        <v>29.3333333333333</v>
      </c>
      <c r="C5" s="1" t="e">
        <f aca="false">VLOOKUP(combined!A5,coal_mean_per_year!B:C,2,0)</f>
        <v>#N/A</v>
      </c>
      <c r="D5" s="1" t="n">
        <f aca="false">VLOOKUP(combined!A5,chronic_lung_death_rate!B:G,6,0)</f>
        <v>37.8314182732688</v>
      </c>
      <c r="E5" s="1" t="e">
        <f aca="false">VLOOKUP(combined!A5,cancer!B:E,4,0)</f>
        <v>#N/A</v>
      </c>
      <c r="F5" s="1" t="e">
        <f aca="false">VLOOKUP(combined!A5,lung_cancer!B:E,4,0)</f>
        <v>#N/A</v>
      </c>
      <c r="G5" s="1" t="n">
        <f aca="false">VLOOKUP(combined!A5,life_expect!B:C,2,0)</f>
        <v>84.04</v>
      </c>
    </row>
    <row r="6" customFormat="false" ht="12.8" hidden="false" customHeight="false" outlineLevel="0" collapsed="false">
      <c r="A6" s="0" t="str">
        <f aca="false">air_poll_mean!B6</f>
        <v>Angola</v>
      </c>
      <c r="B6" s="0" t="n">
        <f aca="false">air_poll_mean!C6</f>
        <v>83.9259259259259</v>
      </c>
      <c r="C6" s="1" t="e">
        <f aca="false">VLOOKUP(combined!A6,coal_mean_per_year!B:C,2,0)</f>
        <v>#N/A</v>
      </c>
      <c r="D6" s="1" t="n">
        <f aca="false">VLOOKUP(combined!A6,chronic_lung_death_rate!B:G,6,0)</f>
        <v>18.5022902121538</v>
      </c>
      <c r="E6" s="1" t="n">
        <f aca="false">VLOOKUP(combined!A6,cancer!B:E,4,0)</f>
        <v>73.06</v>
      </c>
      <c r="F6" s="1" t="n">
        <f aca="false">VLOOKUP(combined!A6,lung_cancer!B:E,4,0)</f>
        <v>1.31</v>
      </c>
      <c r="G6" s="1" t="n">
        <f aca="false">VLOOKUP(combined!A6,life_expect!B:C,2,0)</f>
        <v>64.62</v>
      </c>
    </row>
    <row r="7" customFormat="false" ht="12.8" hidden="false" customHeight="false" outlineLevel="0" collapsed="false">
      <c r="A7" s="0" t="str">
        <f aca="false">air_poll_mean!B7</f>
        <v>Argentina</v>
      </c>
      <c r="B7" s="0" t="n">
        <f aca="false">air_poll_mean!C7</f>
        <v>28.4492753623188</v>
      </c>
      <c r="C7" s="1" t="n">
        <f aca="false">VLOOKUP(combined!A7,coal_mean_per_year!B:C,2,0)</f>
        <v>10.8140027183333</v>
      </c>
      <c r="D7" s="1" t="n">
        <f aca="false">VLOOKUP(combined!A7,chronic_lung_death_rate!B:G,6,0)</f>
        <v>37.8492430030046</v>
      </c>
      <c r="E7" s="1" t="n">
        <f aca="false">VLOOKUP(combined!A7,cancer!B:E,4,0)</f>
        <v>161.79</v>
      </c>
      <c r="F7" s="1" t="n">
        <f aca="false">VLOOKUP(combined!A7,lung_cancer!B:E,4,0)</f>
        <v>10.56</v>
      </c>
      <c r="G7" s="1" t="n">
        <f aca="false">VLOOKUP(combined!A7,life_expect!B:C,2,0)</f>
        <v>77.39</v>
      </c>
    </row>
    <row r="8" customFormat="false" ht="12.8" hidden="false" customHeight="false" outlineLevel="0" collapsed="false">
      <c r="A8" s="0" t="str">
        <f aca="false">air_poll_mean!B8</f>
        <v>Armenia</v>
      </c>
      <c r="B8" s="0" t="n">
        <f aca="false">air_poll_mean!C8</f>
        <v>53.6363636363636</v>
      </c>
      <c r="C8" s="1" t="e">
        <f aca="false">VLOOKUP(combined!A8,coal_mean_per_year!B:C,2,0)</f>
        <v>#N/A</v>
      </c>
      <c r="D8" s="1" t="n">
        <f aca="false">VLOOKUP(combined!A8,chronic_lung_death_rate!B:G,6,0)</f>
        <v>15.9358161042773</v>
      </c>
      <c r="E8" s="1" t="n">
        <f aca="false">VLOOKUP(combined!A8,cancer!B:E,4,0)</f>
        <v>134.07</v>
      </c>
      <c r="F8" s="1" t="n">
        <f aca="false">VLOOKUP(combined!A8,lung_cancer!B:E,4,0)</f>
        <v>15.25</v>
      </c>
      <c r="G8" s="1" t="n">
        <f aca="false">VLOOKUP(combined!A8,life_expect!B:C,2,0)</f>
        <v>75.68</v>
      </c>
    </row>
    <row r="9" customFormat="false" ht="12.8" hidden="false" customHeight="false" outlineLevel="0" collapsed="false">
      <c r="A9" s="0" t="str">
        <f aca="false">air_poll_mean!B9</f>
        <v>Aruba</v>
      </c>
      <c r="B9" s="0" t="n">
        <f aca="false">air_poll_mean!C9</f>
        <v>163</v>
      </c>
      <c r="C9" s="1" t="e">
        <f aca="false">VLOOKUP(combined!A9,coal_mean_per_year!B:C,2,0)</f>
        <v>#N/A</v>
      </c>
      <c r="D9" s="1" t="e">
        <f aca="false">VLOOKUP(combined!A9,chronic_lung_death_rate!B:G,6,0)</f>
        <v>#N/A</v>
      </c>
      <c r="E9" s="1" t="e">
        <f aca="false">VLOOKUP(combined!A9,cancer!B:E,4,0)</f>
        <v>#N/A</v>
      </c>
      <c r="F9" s="1" t="e">
        <f aca="false">VLOOKUP(combined!A9,lung_cancer!B:E,4,0)</f>
        <v>#N/A</v>
      </c>
      <c r="G9" s="1" t="n">
        <f aca="false">VLOOKUP(combined!A9,life_expect!B:C,2,0)</f>
        <v>76.35</v>
      </c>
    </row>
    <row r="10" customFormat="false" ht="12.8" hidden="false" customHeight="false" outlineLevel="0" collapsed="false">
      <c r="A10" s="0" t="str">
        <f aca="false">air_poll_mean!B10</f>
        <v>Australia</v>
      </c>
      <c r="B10" s="0" t="n">
        <f aca="false">air_poll_mean!C10</f>
        <v>33.6</v>
      </c>
      <c r="C10" s="1" t="n">
        <f aca="false">VLOOKUP(combined!A10,coal_mean_per_year!B:C,2,0)</f>
        <v>437.997845666667</v>
      </c>
      <c r="D10" s="1" t="n">
        <f aca="false">VLOOKUP(combined!A10,chronic_lung_death_rate!B:G,6,0)</f>
        <v>45.8858568886809</v>
      </c>
      <c r="E10" s="1" t="n">
        <f aca="false">VLOOKUP(combined!A10,cancer!B:E,4,0)</f>
        <v>281.33</v>
      </c>
      <c r="F10" s="1" t="n">
        <f aca="false">VLOOKUP(combined!A10,lung_cancer!B:E,4,0)</f>
        <v>12.7</v>
      </c>
      <c r="G10" s="1" t="n">
        <f aca="false">VLOOKUP(combined!A10,life_expect!B:C,2,0)</f>
        <v>83.92</v>
      </c>
    </row>
    <row r="11" customFormat="false" ht="12.8" hidden="false" customHeight="false" outlineLevel="0" collapsed="false">
      <c r="A11" s="0" t="str">
        <f aca="false">air_poll_mean!B11</f>
        <v>Austria</v>
      </c>
      <c r="B11" s="0" t="n">
        <f aca="false">air_poll_mean!C11</f>
        <v>53.7205882352941</v>
      </c>
      <c r="C11" s="1" t="n">
        <f aca="false">VLOOKUP(combined!A11,coal_mean_per_year!B:C,2,0)</f>
        <v>42.28628645</v>
      </c>
      <c r="D11" s="1" t="n">
        <f aca="false">VLOOKUP(combined!A11,chronic_lung_death_rate!B:G,6,0)</f>
        <v>41.5439981718678</v>
      </c>
      <c r="E11" s="1" t="n">
        <f aca="false">VLOOKUP(combined!A11,cancer!B:E,4,0)</f>
        <v>201.37</v>
      </c>
      <c r="F11" s="1" t="n">
        <f aca="false">VLOOKUP(combined!A11,lung_cancer!B:E,4,0)</f>
        <v>14.87</v>
      </c>
      <c r="G11" s="1" t="n">
        <f aca="false">VLOOKUP(combined!A11,life_expect!B:C,2,0)</f>
        <v>81.96</v>
      </c>
    </row>
    <row r="12" customFormat="false" ht="12.8" hidden="false" customHeight="false" outlineLevel="0" collapsed="false">
      <c r="A12" s="0" t="str">
        <f aca="false">air_poll_mean!B12</f>
        <v>Azerbaijan</v>
      </c>
      <c r="B12" s="0" t="n">
        <f aca="false">air_poll_mean!C12</f>
        <v>58.7631578947368</v>
      </c>
      <c r="C12" s="1" t="n">
        <f aca="false">VLOOKUP(combined!A12,coal_mean_per_year!B:C,2,0)</f>
        <v>0.2025450846875</v>
      </c>
      <c r="D12" s="1" t="n">
        <f aca="false">VLOOKUP(combined!A12,chronic_lung_death_rate!B:G,6,0)</f>
        <v>17.124758349817</v>
      </c>
      <c r="E12" s="1" t="n">
        <f aca="false">VLOOKUP(combined!A12,cancer!B:E,4,0)</f>
        <v>99.93</v>
      </c>
      <c r="F12" s="1" t="n">
        <f aca="false">VLOOKUP(combined!A12,lung_cancer!B:E,4,0)</f>
        <v>10.08</v>
      </c>
      <c r="G12" s="1" t="n">
        <f aca="false">VLOOKUP(combined!A12,life_expect!B:C,2,0)</f>
        <v>74.43</v>
      </c>
    </row>
    <row r="13" customFormat="false" ht="12.8" hidden="false" customHeight="false" outlineLevel="0" collapsed="false">
      <c r="A13" s="0" t="str">
        <f aca="false">air_poll_mean!B13</f>
        <v>Bahrain</v>
      </c>
      <c r="B13" s="0" t="n">
        <f aca="false">air_poll_mean!C13</f>
        <v>188</v>
      </c>
      <c r="C13" s="1" t="e">
        <f aca="false">VLOOKUP(combined!A13,coal_mean_per_year!B:C,2,0)</f>
        <v>#N/A</v>
      </c>
      <c r="D13" s="1" t="n">
        <f aca="false">VLOOKUP(combined!A13,chronic_lung_death_rate!B:G,6,0)</f>
        <v>14.0617384692384</v>
      </c>
      <c r="E13" s="1" t="n">
        <f aca="false">VLOOKUP(combined!A13,cancer!B:E,4,0)</f>
        <v>89.67</v>
      </c>
      <c r="F13" s="1" t="n">
        <f aca="false">VLOOKUP(combined!A13,lung_cancer!B:E,4,0)</f>
        <v>4.76</v>
      </c>
      <c r="G13" s="1" t="n">
        <f aca="false">VLOOKUP(combined!A13,life_expect!B:C,2,0)</f>
        <v>81.28</v>
      </c>
    </row>
    <row r="14" customFormat="false" ht="12.8" hidden="false" customHeight="false" outlineLevel="0" collapsed="false">
      <c r="A14" s="0" t="str">
        <f aca="false">air_poll_mean!B14</f>
        <v>Bangladesh</v>
      </c>
      <c r="B14" s="0" t="n">
        <f aca="false">air_poll_mean!C14</f>
        <v>113.4625</v>
      </c>
      <c r="C14" s="1" t="n">
        <f aca="false">VLOOKUP(combined!A14,coal_mean_per_year!B:C,2,0)</f>
        <v>10.8285913068333</v>
      </c>
      <c r="D14" s="1" t="n">
        <f aca="false">VLOOKUP(combined!A14,chronic_lung_death_rate!B:G,6,0)</f>
        <v>92.219346213113</v>
      </c>
      <c r="E14" s="1" t="n">
        <f aca="false">VLOOKUP(combined!A14,cancer!B:E,4,0)</f>
        <v>61.12</v>
      </c>
      <c r="F14" s="1" t="n">
        <f aca="false">VLOOKUP(combined!A14,lung_cancer!B:E,4,0)</f>
        <v>4.66</v>
      </c>
      <c r="G14" s="1" t="n">
        <f aca="false">VLOOKUP(combined!A14,life_expect!B:C,2,0)</f>
        <v>74.67</v>
      </c>
    </row>
    <row r="15" customFormat="false" ht="12.8" hidden="false" customHeight="false" outlineLevel="0" collapsed="false">
      <c r="A15" s="0" t="str">
        <f aca="false">air_poll_mean!B15</f>
        <v>Barbados</v>
      </c>
      <c r="B15" s="0" t="n">
        <f aca="false">air_poll_mean!C15</f>
        <v>73</v>
      </c>
      <c r="C15" s="1" t="e">
        <f aca="false">VLOOKUP(combined!A15,coal_mean_per_year!B:C,2,0)</f>
        <v>#N/A</v>
      </c>
      <c r="D15" s="1" t="n">
        <f aca="false">VLOOKUP(combined!A15,chronic_lung_death_rate!B:G,6,0)</f>
        <v>20.612599691169</v>
      </c>
      <c r="E15" s="1" t="n">
        <f aca="false">VLOOKUP(combined!A15,cancer!B:E,4,0)</f>
        <v>161.78</v>
      </c>
      <c r="F15" s="1" t="n">
        <f aca="false">VLOOKUP(combined!A15,lung_cancer!B:E,4,0)</f>
        <v>5.17</v>
      </c>
      <c r="G15" s="1" t="n">
        <f aca="false">VLOOKUP(combined!A15,life_expect!B:C,2,0)</f>
        <v>76.18</v>
      </c>
    </row>
    <row r="16" customFormat="false" ht="12.8" hidden="false" customHeight="false" outlineLevel="0" collapsed="false">
      <c r="A16" s="0" t="str">
        <f aca="false">air_poll_mean!B16</f>
        <v>Belarus</v>
      </c>
      <c r="B16" s="0" t="n">
        <f aca="false">air_poll_mean!C16</f>
        <v>38.4545454545455</v>
      </c>
      <c r="C16" s="1" t="n">
        <f aca="false">VLOOKUP(combined!A16,coal_mean_per_year!B:C,2,0)</f>
        <v>13.2882504925</v>
      </c>
      <c r="D16" s="1" t="n">
        <f aca="false">VLOOKUP(combined!A16,chronic_lung_death_rate!B:G,6,0)</f>
        <v>12.7612934724784</v>
      </c>
      <c r="E16" s="1" t="n">
        <f aca="false">VLOOKUP(combined!A16,cancer!B:E,4,0)</f>
        <v>202.41</v>
      </c>
      <c r="F16" s="1" t="n">
        <f aca="false">VLOOKUP(combined!A16,lung_cancer!B:E,4,0)</f>
        <v>13.93</v>
      </c>
      <c r="G16" s="1" t="n">
        <f aca="false">VLOOKUP(combined!A16,life_expect!B:C,2,0)</f>
        <v>74.43</v>
      </c>
    </row>
    <row r="17" customFormat="false" ht="12.8" hidden="false" customHeight="false" outlineLevel="0" collapsed="false">
      <c r="A17" s="0" t="str">
        <f aca="false">air_poll_mean!B17</f>
        <v>Belgium</v>
      </c>
      <c r="B17" s="0" t="n">
        <f aca="false">air_poll_mean!C17</f>
        <v>44.580985915493</v>
      </c>
      <c r="C17" s="1" t="n">
        <f aca="false">VLOOKUP(combined!A17,coal_mean_per_year!B:C,2,0)</f>
        <v>94.8566460833333</v>
      </c>
      <c r="D17" s="1" t="n">
        <f aca="false">VLOOKUP(combined!A17,chronic_lung_death_rate!B:G,6,0)</f>
        <v>60.6225462222769</v>
      </c>
      <c r="E17" s="1" t="n">
        <f aca="false">VLOOKUP(combined!A17,cancer!B:E,4,0)</f>
        <v>258.42</v>
      </c>
      <c r="F17" s="1" t="n">
        <f aca="false">VLOOKUP(combined!A17,lung_cancer!B:E,4,0)</f>
        <v>17.53</v>
      </c>
      <c r="G17" s="1" t="n">
        <f aca="false">VLOOKUP(combined!A17,life_expect!B:C,2,0)</f>
        <v>82.11</v>
      </c>
    </row>
    <row r="18" customFormat="false" ht="12.8" hidden="false" customHeight="false" outlineLevel="0" collapsed="false">
      <c r="A18" s="0" t="str">
        <f aca="false">air_poll_mean!B18</f>
        <v>Belize</v>
      </c>
      <c r="B18" s="0" t="n">
        <f aca="false">air_poll_mean!C18</f>
        <v>46.3333333333333</v>
      </c>
      <c r="C18" s="1" t="e">
        <f aca="false">VLOOKUP(combined!A18,coal_mean_per_year!B:C,2,0)</f>
        <v>#N/A</v>
      </c>
      <c r="D18" s="1" t="n">
        <f aca="false">VLOOKUP(combined!A18,chronic_lung_death_rate!B:G,6,0)</f>
        <v>20.2877070614117</v>
      </c>
      <c r="E18" s="1" t="n">
        <f aca="false">VLOOKUP(combined!A18,cancer!B:E,4,0)</f>
        <v>76.51</v>
      </c>
      <c r="F18" s="1" t="n">
        <f aca="false">VLOOKUP(combined!A18,lung_cancer!B:E,4,0)</f>
        <v>5.42</v>
      </c>
      <c r="G18" s="1" t="n">
        <f aca="false">VLOOKUP(combined!A18,life_expect!B:C,2,0)</f>
        <v>73.57</v>
      </c>
    </row>
    <row r="19" customFormat="false" ht="12.8" hidden="false" customHeight="false" outlineLevel="0" collapsed="false">
      <c r="A19" s="0" t="str">
        <f aca="false">air_poll_mean!B19</f>
        <v>Benin</v>
      </c>
      <c r="B19" s="0" t="n">
        <f aca="false">air_poll_mean!C19</f>
        <v>67.1111111111111</v>
      </c>
      <c r="C19" s="1" t="e">
        <f aca="false">VLOOKUP(combined!A19,coal_mean_per_year!B:C,2,0)</f>
        <v>#N/A</v>
      </c>
      <c r="D19" s="1" t="n">
        <f aca="false">VLOOKUP(combined!A19,chronic_lung_death_rate!B:G,6,0)</f>
        <v>14.4211554541637</v>
      </c>
      <c r="E19" s="1" t="n">
        <f aca="false">VLOOKUP(combined!A19,cancer!B:E,4,0)</f>
        <v>53.25</v>
      </c>
      <c r="F19" s="1" t="n">
        <f aca="false">VLOOKUP(combined!A19,lung_cancer!B:E,4,0)</f>
        <v>0.74</v>
      </c>
      <c r="G19" s="1" t="n">
        <f aca="false">VLOOKUP(combined!A19,life_expect!B:C,2,0)</f>
        <v>60.77</v>
      </c>
    </row>
    <row r="20" customFormat="false" ht="12.8" hidden="false" customHeight="false" outlineLevel="0" collapsed="false">
      <c r="A20" s="0" t="str">
        <f aca="false">air_poll_mean!B20</f>
        <v>Bhutan</v>
      </c>
      <c r="B20" s="0" t="n">
        <f aca="false">air_poll_mean!C20</f>
        <v>26</v>
      </c>
      <c r="C20" s="1" t="e">
        <f aca="false">VLOOKUP(combined!A20,coal_mean_per_year!B:C,2,0)</f>
        <v>#N/A</v>
      </c>
      <c r="D20" s="1" t="n">
        <f aca="false">VLOOKUP(combined!A20,chronic_lung_death_rate!B:G,6,0)</f>
        <v>99.0437670496172</v>
      </c>
      <c r="E20" s="1" t="n">
        <f aca="false">VLOOKUP(combined!A20,cancer!B:E,4,0)</f>
        <v>58.87</v>
      </c>
      <c r="F20" s="1" t="n">
        <f aca="false">VLOOKUP(combined!A20,lung_cancer!B:E,4,0)</f>
        <v>4.03</v>
      </c>
      <c r="G20" s="1" t="n">
        <f aca="false">VLOOKUP(combined!A20,life_expect!B:C,2,0)</f>
        <v>72.97</v>
      </c>
    </row>
    <row r="21" customFormat="false" ht="12.8" hidden="false" customHeight="false" outlineLevel="0" collapsed="false">
      <c r="A21" s="0" t="str">
        <f aca="false">air_poll_mean!B21</f>
        <v>Bolivia (Plurinational State of)</v>
      </c>
      <c r="B21" s="0" t="n">
        <f aca="false">air_poll_mean!C21</f>
        <v>23.7878787878788</v>
      </c>
      <c r="C21" s="1" t="e">
        <f aca="false">VLOOKUP(combined!A21,coal_mean_per_year!B:C,2,0)</f>
        <v>#N/A</v>
      </c>
      <c r="D21" s="1" t="n">
        <f aca="false">VLOOKUP(combined!A21,chronic_lung_death_rate!B:G,6,0)</f>
        <v>20.8128047121618</v>
      </c>
      <c r="E21" s="1" t="n">
        <f aca="false">VLOOKUP(combined!A21,cancer!B:E,4,0)</f>
        <v>91.16</v>
      </c>
      <c r="F21" s="1" t="n">
        <f aca="false">VLOOKUP(combined!A21,lung_cancer!B:E,4,0)</f>
        <v>4.29</v>
      </c>
      <c r="G21" s="1" t="e">
        <f aca="false">VLOOKUP(combined!A21,life_expect!B:C,2,0)</f>
        <v>#N/A</v>
      </c>
    </row>
    <row r="22" customFormat="false" ht="12.8" hidden="false" customHeight="false" outlineLevel="0" collapsed="false">
      <c r="A22" s="0" t="str">
        <f aca="false">air_poll_mean!B22</f>
        <v>Bosnia and Herzegovina</v>
      </c>
      <c r="B22" s="0" t="n">
        <f aca="false">air_poll_mean!C22</f>
        <v>60.5555555555556</v>
      </c>
      <c r="C22" s="1" t="e">
        <f aca="false">VLOOKUP(combined!A22,coal_mean_per_year!B:C,2,0)</f>
        <v>#N/A</v>
      </c>
      <c r="D22" s="1" t="n">
        <f aca="false">VLOOKUP(combined!A22,chronic_lung_death_rate!B:G,6,0)</f>
        <v>36.6002498457627</v>
      </c>
      <c r="E22" s="1" t="e">
        <f aca="false">VLOOKUP(combined!A22,cancer!B:E,4,0)</f>
        <v>#N/A</v>
      </c>
      <c r="F22" s="1" t="e">
        <f aca="false">VLOOKUP(combined!A22,lung_cancer!B:E,4,0)</f>
        <v>#N/A</v>
      </c>
      <c r="G22" s="1" t="n">
        <f aca="false">VLOOKUP(combined!A22,life_expect!B:C,2,0)</f>
        <v>77.85</v>
      </c>
    </row>
    <row r="23" customFormat="false" ht="12.8" hidden="false" customHeight="false" outlineLevel="0" collapsed="false">
      <c r="A23" s="0" t="str">
        <f aca="false">air_poll_mean!B23</f>
        <v>Botswana</v>
      </c>
      <c r="B23" s="0" t="n">
        <f aca="false">air_poll_mean!C23</f>
        <v>43.5789473684211</v>
      </c>
      <c r="C23" s="1" t="e">
        <f aca="false">VLOOKUP(combined!A23,coal_mean_per_year!B:C,2,0)</f>
        <v>#N/A</v>
      </c>
      <c r="D23" s="1" t="n">
        <f aca="false">VLOOKUP(combined!A23,chronic_lung_death_rate!B:G,6,0)</f>
        <v>32.3296801905344</v>
      </c>
      <c r="E23" s="1" t="n">
        <f aca="false">VLOOKUP(combined!A23,cancer!B:E,4,0)</f>
        <v>80.32</v>
      </c>
      <c r="F23" s="1" t="n">
        <f aca="false">VLOOKUP(combined!A23,lung_cancer!B:E,4,0)</f>
        <v>1.97</v>
      </c>
      <c r="G23" s="1" t="n">
        <f aca="false">VLOOKUP(combined!A23,life_expect!B:C,2,0)</f>
        <v>69.16</v>
      </c>
    </row>
    <row r="24" customFormat="false" ht="12.8" hidden="false" customHeight="false" outlineLevel="0" collapsed="false">
      <c r="A24" s="0" t="str">
        <f aca="false">air_poll_mean!B24</f>
        <v>Brazil</v>
      </c>
      <c r="B24" s="0" t="n">
        <f aca="false">air_poll_mean!C24</f>
        <v>44.5749039692702</v>
      </c>
      <c r="C24" s="1" t="n">
        <f aca="false">VLOOKUP(combined!A24,coal_mean_per_year!B:C,2,0)</f>
        <v>117.228854416667</v>
      </c>
      <c r="D24" s="1" t="n">
        <f aca="false">VLOOKUP(combined!A24,chronic_lung_death_rate!B:G,6,0)</f>
        <v>34.862606026447</v>
      </c>
      <c r="E24" s="1" t="n">
        <f aca="false">VLOOKUP(combined!A24,cancer!B:E,4,0)</f>
        <v>142.2</v>
      </c>
      <c r="F24" s="1" t="n">
        <f aca="false">VLOOKUP(combined!A24,lung_cancer!B:E,4,0)</f>
        <v>7.76</v>
      </c>
      <c r="G24" s="1" t="n">
        <f aca="false">VLOOKUP(combined!A24,life_expect!B:C,2,0)</f>
        <v>75.85</v>
      </c>
    </row>
    <row r="25" customFormat="false" ht="12.8" hidden="false" customHeight="false" outlineLevel="0" collapsed="false">
      <c r="A25" s="0" t="str">
        <f aca="false">air_poll_mean!B25</f>
        <v>Bulgaria</v>
      </c>
      <c r="B25" s="0" t="n">
        <f aca="false">air_poll_mean!C25</f>
        <v>54.2615384615385</v>
      </c>
      <c r="C25" s="1" t="n">
        <f aca="false">VLOOKUP(combined!A25,coal_mean_per_year!B:C,2,0)</f>
        <v>86.5692847</v>
      </c>
      <c r="D25" s="1" t="n">
        <f aca="false">VLOOKUP(combined!A25,chronic_lung_death_rate!B:G,6,0)</f>
        <v>30.6610911947007</v>
      </c>
      <c r="E25" s="1" t="n">
        <f aca="false">VLOOKUP(combined!A25,cancer!B:E,4,0)</f>
        <v>159.71</v>
      </c>
      <c r="F25" s="1" t="n">
        <f aca="false">VLOOKUP(combined!A25,lung_cancer!B:E,4,0)</f>
        <v>14.78</v>
      </c>
      <c r="G25" s="1" t="n">
        <f aca="false">VLOOKUP(combined!A25,life_expect!B:C,2,0)</f>
        <v>75.64</v>
      </c>
    </row>
    <row r="26" customFormat="false" ht="12.8" hidden="false" customHeight="false" outlineLevel="0" collapsed="false">
      <c r="A26" s="0" t="str">
        <f aca="false">air_poll_mean!B26</f>
        <v>Burkina Faso</v>
      </c>
      <c r="B26" s="0" t="n">
        <f aca="false">air_poll_mean!C26</f>
        <v>51.5882352941176</v>
      </c>
      <c r="C26" s="1" t="e">
        <f aca="false">VLOOKUP(combined!A26,coal_mean_per_year!B:C,2,0)</f>
        <v>#N/A</v>
      </c>
      <c r="D26" s="1" t="n">
        <f aca="false">VLOOKUP(combined!A26,chronic_lung_death_rate!B:G,6,0)</f>
        <v>12.3470119593312</v>
      </c>
      <c r="E26" s="1" t="n">
        <f aca="false">VLOOKUP(combined!A26,cancer!B:E,4,0)</f>
        <v>58.95</v>
      </c>
      <c r="F26" s="1" t="n">
        <f aca="false">VLOOKUP(combined!A26,lung_cancer!B:E,4,0)</f>
        <v>2.03</v>
      </c>
      <c r="G26" s="1" t="n">
        <f aca="false">VLOOKUP(combined!A26,life_expect!B:C,2,0)</f>
        <v>61.09</v>
      </c>
    </row>
    <row r="27" customFormat="false" ht="12.8" hidden="false" customHeight="false" outlineLevel="0" collapsed="false">
      <c r="A27" s="0" t="str">
        <f aca="false">air_poll_mean!B27</f>
        <v>Burundi</v>
      </c>
      <c r="B27" s="0" t="n">
        <f aca="false">air_poll_mean!C27</f>
        <v>62.6923076923077</v>
      </c>
      <c r="C27" s="1" t="e">
        <f aca="false">VLOOKUP(combined!A27,coal_mean_per_year!B:C,2,0)</f>
        <v>#N/A</v>
      </c>
      <c r="D27" s="1" t="n">
        <f aca="false">VLOOKUP(combined!A27,chronic_lung_death_rate!B:G,6,0)</f>
        <v>12.1695971938666</v>
      </c>
      <c r="E27" s="1" t="n">
        <f aca="false">VLOOKUP(combined!A27,cancer!B:E,4,0)</f>
        <v>55.44</v>
      </c>
      <c r="F27" s="1" t="n">
        <f aca="false">VLOOKUP(combined!A27,lung_cancer!B:E,4,0)</f>
        <v>1.82</v>
      </c>
      <c r="G27" s="1" t="n">
        <f aca="false">VLOOKUP(combined!A27,life_expect!B:C,2,0)</f>
        <v>63.65</v>
      </c>
    </row>
    <row r="28" customFormat="false" ht="12.8" hidden="false" customHeight="false" outlineLevel="0" collapsed="false">
      <c r="A28" s="0" t="str">
        <f aca="false">air_poll_mean!B28</f>
        <v>Cabo Verde</v>
      </c>
      <c r="B28" s="0" t="n">
        <f aca="false">air_poll_mean!C28</f>
        <v>38</v>
      </c>
      <c r="C28" s="1" t="e">
        <f aca="false">VLOOKUP(combined!A28,coal_mean_per_year!B:C,2,0)</f>
        <v>#N/A</v>
      </c>
      <c r="D28" s="1" t="n">
        <f aca="false">VLOOKUP(combined!A28,chronic_lung_death_rate!B:G,6,0)</f>
        <v>18.6369982563107</v>
      </c>
      <c r="E28" s="1" t="e">
        <f aca="false">VLOOKUP(combined!A28,cancer!B:E,4,0)</f>
        <v>#N/A</v>
      </c>
      <c r="F28" s="1" t="e">
        <f aca="false">VLOOKUP(combined!A28,lung_cancer!B:E,4,0)</f>
        <v>#N/A</v>
      </c>
      <c r="G28" s="1" t="e">
        <f aca="false">VLOOKUP(combined!A28,life_expect!B:C,2,0)</f>
        <v>#N/A</v>
      </c>
    </row>
    <row r="29" customFormat="false" ht="12.8" hidden="false" customHeight="false" outlineLevel="0" collapsed="false">
      <c r="A29" s="0" t="str">
        <f aca="false">air_poll_mean!B29</f>
        <v>Cambodia</v>
      </c>
      <c r="B29" s="0" t="n">
        <f aca="false">air_poll_mean!C29</f>
        <v>45.25</v>
      </c>
      <c r="C29" s="1" t="e">
        <f aca="false">VLOOKUP(combined!A29,coal_mean_per_year!B:C,2,0)</f>
        <v>#N/A</v>
      </c>
      <c r="D29" s="1" t="n">
        <f aca="false">VLOOKUP(combined!A29,chronic_lung_death_rate!B:G,6,0)</f>
        <v>41.6656196574479</v>
      </c>
      <c r="E29" s="1" t="n">
        <f aca="false">VLOOKUP(combined!A29,cancer!B:E,4,0)</f>
        <v>76.03</v>
      </c>
      <c r="F29" s="1" t="n">
        <f aca="false">VLOOKUP(combined!A29,lung_cancer!B:E,4,0)</f>
        <v>8.47</v>
      </c>
      <c r="G29" s="1" t="n">
        <f aca="false">VLOOKUP(combined!A29,life_expect!B:C,2,0)</f>
        <v>70.67</v>
      </c>
    </row>
    <row r="30" customFormat="false" ht="12.8" hidden="false" customHeight="false" outlineLevel="0" collapsed="false">
      <c r="A30" s="0" t="str">
        <f aca="false">air_poll_mean!B30</f>
        <v>Cameroon</v>
      </c>
      <c r="B30" s="0" t="n">
        <f aca="false">air_poll_mean!C30</f>
        <v>69.015625</v>
      </c>
      <c r="C30" s="1" t="e">
        <f aca="false">VLOOKUP(combined!A30,coal_mean_per_year!B:C,2,0)</f>
        <v>#N/A</v>
      </c>
      <c r="D30" s="1" t="n">
        <f aca="false">VLOOKUP(combined!A30,chronic_lung_death_rate!B:G,6,0)</f>
        <v>14.4519467636248</v>
      </c>
      <c r="E30" s="1" t="n">
        <f aca="false">VLOOKUP(combined!A30,cancer!B:E,4,0)</f>
        <v>67.98</v>
      </c>
      <c r="F30" s="1" t="n">
        <f aca="false">VLOOKUP(combined!A30,lung_cancer!B:E,4,0)</f>
        <v>1.62</v>
      </c>
      <c r="G30" s="1" t="n">
        <f aca="false">VLOOKUP(combined!A30,life_expect!B:C,2,0)</f>
        <v>63.7</v>
      </c>
    </row>
    <row r="31" customFormat="false" ht="12.8" hidden="false" customHeight="false" outlineLevel="0" collapsed="false">
      <c r="A31" s="0" t="str">
        <f aca="false">air_poll_mean!B31</f>
        <v>Canada</v>
      </c>
      <c r="B31" s="0" t="n">
        <f aca="false">air_poll_mean!C31</f>
        <v>43.2624113475177</v>
      </c>
      <c r="C31" s="1" t="n">
        <f aca="false">VLOOKUP(combined!A31,coal_mean_per_year!B:C,2,0)</f>
        <v>255.824822916667</v>
      </c>
      <c r="D31" s="1" t="n">
        <f aca="false">VLOOKUP(combined!A31,chronic_lung_death_rate!B:G,6,0)</f>
        <v>53.5304469791845</v>
      </c>
      <c r="E31" s="1" t="n">
        <f aca="false">VLOOKUP(combined!A31,cancer!B:E,4,0)</f>
        <v>248.79</v>
      </c>
      <c r="F31" s="1" t="n">
        <f aca="false">VLOOKUP(combined!A31,lung_cancer!B:E,4,0)</f>
        <v>16.92</v>
      </c>
      <c r="G31" s="1" t="n">
        <f aca="false">VLOOKUP(combined!A31,life_expect!B:C,2,0)</f>
        <v>82.63</v>
      </c>
    </row>
    <row r="32" customFormat="false" ht="12.8" hidden="false" customHeight="false" outlineLevel="0" collapsed="false">
      <c r="A32" s="0" t="str">
        <f aca="false">air_poll_mean!B32</f>
        <v>Central African Republic</v>
      </c>
      <c r="B32" s="0" t="n">
        <f aca="false">air_poll_mean!C32</f>
        <v>64.1666666666667</v>
      </c>
      <c r="C32" s="1" t="e">
        <f aca="false">VLOOKUP(combined!A32,coal_mean_per_year!B:C,2,0)</f>
        <v>#N/A</v>
      </c>
      <c r="D32" s="1" t="n">
        <f aca="false">VLOOKUP(combined!A32,chronic_lung_death_rate!B:G,6,0)</f>
        <v>26.4295636961316</v>
      </c>
      <c r="E32" s="1" t="n">
        <f aca="false">VLOOKUP(combined!A32,cancer!B:E,4,0)</f>
        <v>38.57</v>
      </c>
      <c r="F32" s="1" t="n">
        <f aca="false">VLOOKUP(combined!A32,lung_cancer!B:E,4,0)</f>
        <v>1.12</v>
      </c>
      <c r="G32" s="1" t="n">
        <f aca="false">VLOOKUP(combined!A32,life_expect!B:C,2,0)</f>
        <v>57.41</v>
      </c>
    </row>
    <row r="33" customFormat="false" ht="12.8" hidden="false" customHeight="false" outlineLevel="0" collapsed="false">
      <c r="A33" s="0" t="str">
        <f aca="false">air_poll_mean!B33</f>
        <v>Chad</v>
      </c>
      <c r="B33" s="0" t="n">
        <f aca="false">air_poll_mean!C33</f>
        <v>75.3333333333333</v>
      </c>
      <c r="C33" s="1" t="e">
        <f aca="false">VLOOKUP(combined!A33,coal_mean_per_year!B:C,2,0)</f>
        <v>#N/A</v>
      </c>
      <c r="D33" s="1" t="n">
        <f aca="false">VLOOKUP(combined!A33,chronic_lung_death_rate!B:G,6,0)</f>
        <v>13.8760006228037</v>
      </c>
      <c r="E33" s="1" t="n">
        <f aca="false">VLOOKUP(combined!A33,cancer!B:E,4,0)</f>
        <v>50.56</v>
      </c>
      <c r="F33" s="1" t="n">
        <f aca="false">VLOOKUP(combined!A33,lung_cancer!B:E,4,0)</f>
        <v>1.11</v>
      </c>
      <c r="G33" s="1" t="n">
        <f aca="false">VLOOKUP(combined!A33,life_expect!B:C,2,0)</f>
        <v>55.07</v>
      </c>
    </row>
    <row r="34" customFormat="false" ht="12.8" hidden="false" customHeight="false" outlineLevel="0" collapsed="false">
      <c r="A34" s="0" t="str">
        <f aca="false">air_poll_mean!B34</f>
        <v>Chile</v>
      </c>
      <c r="B34" s="0" t="n">
        <f aca="false">air_poll_mean!C34</f>
        <v>87.8518518518519</v>
      </c>
      <c r="C34" s="1" t="n">
        <f aca="false">VLOOKUP(combined!A34,coal_mean_per_year!B:C,2,0)</f>
        <v>35.706123675</v>
      </c>
      <c r="D34" s="1" t="n">
        <f aca="false">VLOOKUP(combined!A34,chronic_lung_death_rate!B:G,6,0)</f>
        <v>39.2378644489565</v>
      </c>
      <c r="E34" s="1" t="n">
        <f aca="false">VLOOKUP(combined!A34,cancer!B:E,4,0)</f>
        <v>137.6</v>
      </c>
      <c r="F34" s="1" t="n">
        <f aca="false">VLOOKUP(combined!A34,lung_cancer!B:E,4,0)</f>
        <v>6.58</v>
      </c>
      <c r="G34" s="1" t="n">
        <f aca="false">VLOOKUP(combined!A34,life_expect!B:C,2,0)</f>
        <v>81.17</v>
      </c>
    </row>
    <row r="35" customFormat="false" ht="12.8" hidden="false" customHeight="false" outlineLevel="0" collapsed="false">
      <c r="A35" s="0" t="str">
        <f aca="false">air_poll_mean!B35</f>
        <v>China</v>
      </c>
      <c r="B35" s="0" t="n">
        <f aca="false">air_poll_mean!C35</f>
        <v>126.953459119497</v>
      </c>
      <c r="C35" s="1" t="n">
        <f aca="false">VLOOKUP(combined!A35,coal_mean_per_year!B:C,2,0)</f>
        <v>10624.5337166667</v>
      </c>
      <c r="D35" s="1" t="n">
        <f aca="false">VLOOKUP(combined!A35,chronic_lung_death_rate!B:G,6,0)</f>
        <v>73.1526943507694</v>
      </c>
      <c r="E35" s="1" t="n">
        <f aca="false">VLOOKUP(combined!A35,cancer!B:E,4,0)</f>
        <v>132.24</v>
      </c>
      <c r="F35" s="1" t="n">
        <f aca="false">VLOOKUP(combined!A35,lung_cancer!B:E,4,0)</f>
        <v>21.88</v>
      </c>
      <c r="G35" s="1" t="n">
        <f aca="false">VLOOKUP(combined!A35,life_expect!B:C,2,0)</f>
        <v>77.95</v>
      </c>
    </row>
    <row r="36" customFormat="false" ht="12.8" hidden="false" customHeight="false" outlineLevel="0" collapsed="false">
      <c r="A36" s="0" t="str">
        <f aca="false">air_poll_mean!B36</f>
        <v>Colombia</v>
      </c>
      <c r="B36" s="0" t="n">
        <f aca="false">air_poll_mean!C36</f>
        <v>66.068</v>
      </c>
      <c r="C36" s="1" t="n">
        <f aca="false">VLOOKUP(combined!A36,coal_mean_per_year!B:C,2,0)</f>
        <v>36.6017477</v>
      </c>
      <c r="D36" s="1" t="n">
        <f aca="false">VLOOKUP(combined!A36,chronic_lung_death_rate!B:G,6,0)</f>
        <v>37.4390101849976</v>
      </c>
      <c r="E36" s="1" t="n">
        <f aca="false">VLOOKUP(combined!A36,cancer!B:E,4,0)</f>
        <v>120.9</v>
      </c>
      <c r="F36" s="1" t="n">
        <f aca="false">VLOOKUP(combined!A36,lung_cancer!B:E,4,0)</f>
        <v>5.2</v>
      </c>
      <c r="G36" s="1" t="n">
        <f aca="false">VLOOKUP(combined!A36,life_expect!B:C,2,0)</f>
        <v>77.72</v>
      </c>
    </row>
    <row r="37" customFormat="false" ht="12.8" hidden="false" customHeight="false" outlineLevel="0" collapsed="false">
      <c r="A37" s="0" t="str">
        <f aca="false">air_poll_mean!B37</f>
        <v>Comoros</v>
      </c>
      <c r="B37" s="0" t="n">
        <f aca="false">air_poll_mean!C37</f>
        <v>33</v>
      </c>
      <c r="C37" s="1" t="e">
        <f aca="false">VLOOKUP(combined!A37,coal_mean_per_year!B:C,2,0)</f>
        <v>#N/A</v>
      </c>
      <c r="D37" s="1" t="n">
        <f aca="false">VLOOKUP(combined!A37,chronic_lung_death_rate!B:G,6,0)</f>
        <v>13.2023544975433</v>
      </c>
      <c r="E37" s="1" t="n">
        <f aca="false">VLOOKUP(combined!A37,cancer!B:E,4,0)</f>
        <v>65.2</v>
      </c>
      <c r="F37" s="1" t="n">
        <f aca="false">VLOOKUP(combined!A37,lung_cancer!B:E,4,0)</f>
        <v>1.57</v>
      </c>
      <c r="G37" s="1" t="n">
        <f aca="false">VLOOKUP(combined!A37,life_expect!B:C,2,0)</f>
        <v>66.78</v>
      </c>
    </row>
    <row r="38" customFormat="false" ht="12.8" hidden="false" customHeight="false" outlineLevel="0" collapsed="false">
      <c r="A38" s="0" t="str">
        <f aca="false">air_poll_mean!B38</f>
        <v>Congo</v>
      </c>
      <c r="B38" s="0" t="n">
        <f aca="false">air_poll_mean!C38</f>
        <v>87.5833333333333</v>
      </c>
      <c r="C38" s="1" t="e">
        <f aca="false">VLOOKUP(combined!A38,coal_mean_per_year!B:C,2,0)</f>
        <v>#N/A</v>
      </c>
      <c r="D38" s="1" t="n">
        <f aca="false">VLOOKUP(combined!A38,chronic_lung_death_rate!B:G,6,0)</f>
        <v>20.256653834954</v>
      </c>
      <c r="E38" s="1" t="e">
        <f aca="false">VLOOKUP(combined!A38,cancer!B:E,4,0)</f>
        <v>#N/A</v>
      </c>
      <c r="F38" s="1" t="e">
        <f aca="false">VLOOKUP(combined!A38,lung_cancer!B:E,4,0)</f>
        <v>#N/A</v>
      </c>
      <c r="G38" s="1" t="n">
        <f aca="false">VLOOKUP(combined!A38,life_expect!B:C,2,0)</f>
        <v>65.77</v>
      </c>
    </row>
    <row r="39" customFormat="false" ht="12.8" hidden="false" customHeight="false" outlineLevel="0" collapsed="false">
      <c r="A39" s="0" t="str">
        <f aca="false">air_poll_mean!B39</f>
        <v>Costa Rica</v>
      </c>
      <c r="B39" s="0" t="n">
        <f aca="false">air_poll_mean!C39</f>
        <v>58.8157894736842</v>
      </c>
      <c r="C39" s="1" t="e">
        <f aca="false">VLOOKUP(combined!A39,coal_mean_per_year!B:C,2,0)</f>
        <v>#N/A</v>
      </c>
      <c r="D39" s="1" t="n">
        <f aca="false">VLOOKUP(combined!A39,chronic_lung_death_rate!B:G,6,0)</f>
        <v>29.6667672596644</v>
      </c>
      <c r="E39" s="1" t="n">
        <f aca="false">VLOOKUP(combined!A39,cancer!B:E,4,0)</f>
        <v>118.11</v>
      </c>
      <c r="F39" s="1" t="n">
        <f aca="false">VLOOKUP(combined!A39,lung_cancer!B:E,4,0)</f>
        <v>3.56</v>
      </c>
      <c r="G39" s="1" t="n">
        <f aca="false">VLOOKUP(combined!A39,life_expect!B:C,2,0)</f>
        <v>80.8</v>
      </c>
    </row>
    <row r="40" customFormat="false" ht="12.8" hidden="false" customHeight="false" outlineLevel="0" collapsed="false">
      <c r="A40" s="0" t="str">
        <f aca="false">air_poll_mean!B40</f>
        <v>Croatia</v>
      </c>
      <c r="B40" s="0" t="n">
        <f aca="false">air_poll_mean!C40</f>
        <v>57.9354838709677</v>
      </c>
      <c r="C40" s="1" t="n">
        <f aca="false">VLOOKUP(combined!A40,coal_mean_per_year!B:C,2,0)</f>
        <v>5.58356455142857</v>
      </c>
      <c r="D40" s="1" t="n">
        <f aca="false">VLOOKUP(combined!A40,chronic_lung_death_rate!B:G,6,0)</f>
        <v>45.6766345708862</v>
      </c>
      <c r="E40" s="1" t="n">
        <f aca="false">VLOOKUP(combined!A40,cancer!B:E,4,0)</f>
        <v>238.77</v>
      </c>
      <c r="F40" s="1" t="n">
        <f aca="false">VLOOKUP(combined!A40,lung_cancer!B:E,4,0)</f>
        <v>19.71</v>
      </c>
      <c r="G40" s="1" t="n">
        <f aca="false">VLOOKUP(combined!A40,life_expect!B:C,2,0)</f>
        <v>78.58</v>
      </c>
    </row>
    <row r="41" customFormat="false" ht="12.8" hidden="false" customHeight="false" outlineLevel="0" collapsed="false">
      <c r="A41" s="0" t="str">
        <f aca="false">air_poll_mean!B41</f>
        <v>Cuba</v>
      </c>
      <c r="B41" s="0" t="n">
        <f aca="false">air_poll_mean!C41</f>
        <v>63.0714285714286</v>
      </c>
      <c r="C41" s="1" t="e">
        <f aca="false">VLOOKUP(combined!A41,coal_mean_per_year!B:C,2,0)</f>
        <v>#N/A</v>
      </c>
      <c r="D41" s="1" t="n">
        <f aca="false">VLOOKUP(combined!A41,chronic_lung_death_rate!B:G,6,0)</f>
        <v>62.2920151786375</v>
      </c>
      <c r="E41" s="1" t="n">
        <f aca="false">VLOOKUP(combined!A41,cancer!B:E,4,0)</f>
        <v>144.35</v>
      </c>
      <c r="F41" s="1" t="n">
        <f aca="false">VLOOKUP(combined!A41,lung_cancer!B:E,4,0)</f>
        <v>15.7</v>
      </c>
      <c r="G41" s="1" t="n">
        <f aca="false">VLOOKUP(combined!A41,life_expect!B:C,2,0)</f>
        <v>78.08</v>
      </c>
    </row>
    <row r="42" customFormat="false" ht="12.8" hidden="false" customHeight="false" outlineLevel="0" collapsed="false">
      <c r="A42" s="0" t="str">
        <f aca="false">air_poll_mean!B42</f>
        <v>Cyprus</v>
      </c>
      <c r="B42" s="0" t="n">
        <f aca="false">air_poll_mean!C42</f>
        <v>50.8333333333333</v>
      </c>
      <c r="C42" s="1" t="n">
        <f aca="false">VLOOKUP(combined!A42,coal_mean_per_year!B:C,2,0)</f>
        <v>0.316314173453333</v>
      </c>
      <c r="D42" s="1" t="n">
        <f aca="false">VLOOKUP(combined!A42,chronic_lung_death_rate!B:G,6,0)</f>
        <v>53.4241288638809</v>
      </c>
      <c r="E42" s="1" t="n">
        <f aca="false">VLOOKUP(combined!A42,cancer!B:E,4,0)</f>
        <v>235.23</v>
      </c>
      <c r="F42" s="1" t="n">
        <f aca="false">VLOOKUP(combined!A42,lung_cancer!B:E,4,0)</f>
        <v>14.23</v>
      </c>
      <c r="G42" s="1" t="n">
        <f aca="false">VLOOKUP(combined!A42,life_expect!B:C,2,0)</f>
        <v>81.65</v>
      </c>
    </row>
    <row r="43" customFormat="false" ht="12.8" hidden="false" customHeight="false" outlineLevel="0" collapsed="false">
      <c r="A43" s="0" t="str">
        <f aca="false">air_poll_mean!B43</f>
        <v>Czechia</v>
      </c>
      <c r="B43" s="0" t="n">
        <f aca="false">air_poll_mean!C43</f>
        <v>60.9055118110236</v>
      </c>
      <c r="C43" s="1" t="n">
        <f aca="false">VLOOKUP(combined!A43,coal_mean_per_year!B:C,2,0)</f>
        <v>311.936146733333</v>
      </c>
      <c r="D43" s="1" t="n">
        <f aca="false">VLOOKUP(combined!A43,chronic_lung_death_rate!B:G,6,0)</f>
        <v>39.0759513784644</v>
      </c>
      <c r="E43" s="1" t="n">
        <f aca="false">VLOOKUP(combined!A43,cancer!B:E,4,0)</f>
        <v>221.41</v>
      </c>
      <c r="F43" s="1" t="n">
        <f aca="false">VLOOKUP(combined!A43,lung_cancer!B:E,4,0)</f>
        <v>12.57</v>
      </c>
      <c r="G43" s="1" t="e">
        <f aca="false">VLOOKUP(combined!A43,life_expect!B:C,2,0)</f>
        <v>#N/A</v>
      </c>
    </row>
    <row r="44" customFormat="false" ht="12.8" hidden="false" customHeight="false" outlineLevel="0" collapsed="false">
      <c r="A44" s="0" t="str">
        <f aca="false">air_poll_mean!B44</f>
        <v>Côte d'Ivoire</v>
      </c>
      <c r="B44" s="0" t="n">
        <f aca="false">air_poll_mean!C44</f>
        <v>53.2835820895522</v>
      </c>
      <c r="C44" s="1" t="e">
        <f aca="false">VLOOKUP(combined!A44,coal_mean_per_year!B:C,2,0)</f>
        <v>#N/A</v>
      </c>
      <c r="D44" s="1" t="n">
        <f aca="false">VLOOKUP(combined!A44,chronic_lung_death_rate!B:G,6,0)</f>
        <v>11.0917012521196</v>
      </c>
      <c r="E44" s="1" t="n">
        <f aca="false">VLOOKUP(combined!A44,cancer!B:E,4,0)</f>
        <v>69.64</v>
      </c>
      <c r="F44" s="1" t="n">
        <f aca="false">VLOOKUP(combined!A44,lung_cancer!B:E,4,0)</f>
        <v>1.28</v>
      </c>
      <c r="G44" s="1" t="e">
        <f aca="false">VLOOKUP(combined!A44,life_expect!B:C,2,0)</f>
        <v>#N/A</v>
      </c>
    </row>
    <row r="45" customFormat="false" ht="12.8" hidden="false" customHeight="false" outlineLevel="0" collapsed="false">
      <c r="A45" s="0" t="str">
        <f aca="false">air_poll_mean!B45</f>
        <v>Democratic Republic of the Congo</v>
      </c>
      <c r="B45" s="0" t="n">
        <f aca="false">air_poll_mean!C45</f>
        <v>114.814285714286</v>
      </c>
      <c r="C45" s="1" t="e">
        <f aca="false">VLOOKUP(combined!A45,coal_mean_per_year!B:C,2,0)</f>
        <v>#N/A</v>
      </c>
      <c r="D45" s="1" t="n">
        <f aca="false">VLOOKUP(combined!A45,chronic_lung_death_rate!B:G,6,0)</f>
        <v>26.3984153108647</v>
      </c>
      <c r="E45" s="1" t="e">
        <f aca="false">VLOOKUP(combined!A45,cancer!B:E,4,0)</f>
        <v>#N/A</v>
      </c>
      <c r="F45" s="1" t="e">
        <f aca="false">VLOOKUP(combined!A45,lung_cancer!B:E,4,0)</f>
        <v>#N/A</v>
      </c>
      <c r="G45" s="1" t="e">
        <f aca="false">VLOOKUP(combined!A45,life_expect!B:C,2,0)</f>
        <v>#N/A</v>
      </c>
    </row>
    <row r="46" customFormat="false" ht="12.8" hidden="false" customHeight="false" outlineLevel="0" collapsed="false">
      <c r="A46" s="0" t="str">
        <f aca="false">air_poll_mean!B46</f>
        <v>Denmark</v>
      </c>
      <c r="B46" s="0" t="n">
        <f aca="false">air_poll_mean!C46</f>
        <v>38.0166666666667</v>
      </c>
      <c r="C46" s="1" t="n">
        <f aca="false">VLOOKUP(combined!A46,coal_mean_per_year!B:C,2,0)</f>
        <v>47.8579477166667</v>
      </c>
      <c r="D46" s="1" t="n">
        <f aca="false">VLOOKUP(combined!A46,chronic_lung_death_rate!B:G,6,0)</f>
        <v>92.6966915204091</v>
      </c>
      <c r="E46" s="1" t="n">
        <f aca="false">VLOOKUP(combined!A46,cancer!B:E,4,0)</f>
        <v>302.22</v>
      </c>
      <c r="F46" s="1" t="n">
        <f aca="false">VLOOKUP(combined!A46,lung_cancer!B:E,4,0)</f>
        <v>18.29</v>
      </c>
      <c r="G46" s="1" t="n">
        <f aca="false">VLOOKUP(combined!A46,life_expect!B:C,2,0)</f>
        <v>81.93</v>
      </c>
    </row>
    <row r="47" customFormat="false" ht="12.8" hidden="false" customHeight="false" outlineLevel="0" collapsed="false">
      <c r="A47" s="0" t="str">
        <f aca="false">air_poll_mean!B47</f>
        <v>Dominican Republic</v>
      </c>
      <c r="B47" s="0" t="n">
        <f aca="false">air_poll_mean!C47</f>
        <v>108.078947368421</v>
      </c>
      <c r="C47" s="1" t="e">
        <f aca="false">VLOOKUP(combined!A47,coal_mean_per_year!B:C,2,0)</f>
        <v>#N/A</v>
      </c>
      <c r="D47" s="1" t="n">
        <f aca="false">VLOOKUP(combined!A47,chronic_lung_death_rate!B:G,6,0)</f>
        <v>19.5329487489996</v>
      </c>
      <c r="E47" s="1" t="n">
        <f aca="false">VLOOKUP(combined!A47,cancer!B:E,4,0)</f>
        <v>113.85</v>
      </c>
      <c r="F47" s="1" t="n">
        <f aca="false">VLOOKUP(combined!A47,lung_cancer!B:E,4,0)</f>
        <v>6.77</v>
      </c>
      <c r="G47" s="1" t="n">
        <f aca="false">VLOOKUP(combined!A47,life_expect!B:C,2,0)</f>
        <v>73.72</v>
      </c>
    </row>
    <row r="48" customFormat="false" ht="12.8" hidden="false" customHeight="false" outlineLevel="0" collapsed="false">
      <c r="A48" s="0" t="str">
        <f aca="false">air_poll_mean!B48</f>
        <v>Ecuador</v>
      </c>
      <c r="B48" s="0" t="n">
        <f aca="false">air_poll_mean!C48</f>
        <v>45.3333333333333</v>
      </c>
      <c r="C48" s="1" t="n">
        <f aca="false">VLOOKUP(combined!A48,coal_mean_per_year!B:C,2,0)</f>
        <v>0.0819752146533333</v>
      </c>
      <c r="D48" s="1" t="n">
        <f aca="false">VLOOKUP(combined!A48,chronic_lung_death_rate!B:G,6,0)</f>
        <v>23.6399181413838</v>
      </c>
      <c r="E48" s="1" t="n">
        <f aca="false">VLOOKUP(combined!A48,cancer!B:E,4,0)</f>
        <v>100.96</v>
      </c>
      <c r="F48" s="1" t="n">
        <f aca="false">VLOOKUP(combined!A48,lung_cancer!B:E,4,0)</f>
        <v>3.25</v>
      </c>
      <c r="G48" s="1" t="n">
        <f aca="false">VLOOKUP(combined!A48,life_expect!B:C,2,0)</f>
        <v>77.39</v>
      </c>
    </row>
    <row r="49" customFormat="false" ht="12.8" hidden="false" customHeight="false" outlineLevel="0" collapsed="false">
      <c r="A49" s="0" t="str">
        <f aca="false">air_poll_mean!B49</f>
        <v>Egypt</v>
      </c>
      <c r="B49" s="0" t="n">
        <f aca="false">air_poll_mean!C49</f>
        <v>101.65</v>
      </c>
      <c r="C49" s="1" t="n">
        <f aca="false">VLOOKUP(combined!A49,coal_mean_per_year!B:C,2,0)</f>
        <v>8.90831682166667</v>
      </c>
      <c r="D49" s="1" t="n">
        <f aca="false">VLOOKUP(combined!A49,chronic_lung_death_rate!B:G,6,0)</f>
        <v>13.5145484680172</v>
      </c>
      <c r="E49" s="1" t="n">
        <f aca="false">VLOOKUP(combined!A49,cancer!B:E,4,0)</f>
        <v>104.77</v>
      </c>
      <c r="F49" s="1" t="n">
        <f aca="false">VLOOKUP(combined!A49,lung_cancer!B:E,4,0)</f>
        <v>4.65</v>
      </c>
      <c r="G49" s="1" t="n">
        <f aca="false">VLOOKUP(combined!A49,life_expect!B:C,2,0)</f>
        <v>71.63</v>
      </c>
    </row>
    <row r="50" customFormat="false" ht="12.8" hidden="false" customHeight="false" outlineLevel="0" collapsed="false">
      <c r="A50" s="0" t="str">
        <f aca="false">air_poll_mean!B50</f>
        <v>El Salvador</v>
      </c>
      <c r="B50" s="0" t="n">
        <f aca="false">air_poll_mean!C50</f>
        <v>97.3636363636364</v>
      </c>
      <c r="C50" s="1" t="e">
        <f aca="false">VLOOKUP(combined!A50,coal_mean_per_year!B:C,2,0)</f>
        <v>#N/A</v>
      </c>
      <c r="D50" s="1" t="n">
        <f aca="false">VLOOKUP(combined!A50,chronic_lung_death_rate!B:G,6,0)</f>
        <v>29.6609768064656</v>
      </c>
      <c r="E50" s="1" t="n">
        <f aca="false">VLOOKUP(combined!A50,cancer!B:E,4,0)</f>
        <v>76.58</v>
      </c>
      <c r="F50" s="1" t="n">
        <f aca="false">VLOOKUP(combined!A50,lung_cancer!B:E,4,0)</f>
        <v>2.49</v>
      </c>
      <c r="G50" s="1" t="n">
        <f aca="false">VLOOKUP(combined!A50,life_expect!B:C,2,0)</f>
        <v>72.1</v>
      </c>
    </row>
    <row r="51" customFormat="false" ht="12.8" hidden="false" customHeight="false" outlineLevel="0" collapsed="false">
      <c r="A51" s="0" t="str">
        <f aca="false">air_poll_mean!B51</f>
        <v>Equatorial Guinea</v>
      </c>
      <c r="B51" s="0" t="n">
        <f aca="false">air_poll_mean!C51</f>
        <v>45.25</v>
      </c>
      <c r="C51" s="1" t="e">
        <f aca="false">VLOOKUP(combined!A51,coal_mean_per_year!B:C,2,0)</f>
        <v>#N/A</v>
      </c>
      <c r="D51" s="1" t="n">
        <f aca="false">VLOOKUP(combined!A51,chronic_lung_death_rate!B:G,6,0)</f>
        <v>15.5394667674795</v>
      </c>
      <c r="E51" s="1" t="n">
        <f aca="false">VLOOKUP(combined!A51,cancer!B:E,4,0)</f>
        <v>67.27</v>
      </c>
      <c r="F51" s="1" t="n">
        <f aca="false">VLOOKUP(combined!A51,lung_cancer!B:E,4,0)</f>
        <v>2.44</v>
      </c>
      <c r="G51" s="1" t="n">
        <f aca="false">VLOOKUP(combined!A51,life_expect!B:C,2,0)</f>
        <v>63.71</v>
      </c>
    </row>
    <row r="52" customFormat="false" ht="12.8" hidden="false" customHeight="false" outlineLevel="0" collapsed="false">
      <c r="A52" s="0" t="str">
        <f aca="false">air_poll_mean!B52</f>
        <v>Eritrea</v>
      </c>
      <c r="B52" s="0" t="n">
        <f aca="false">air_poll_mean!C52</f>
        <v>99.2</v>
      </c>
      <c r="C52" s="1" t="e">
        <f aca="false">VLOOKUP(combined!A52,coal_mean_per_year!B:C,2,0)</f>
        <v>#N/A</v>
      </c>
      <c r="D52" s="1" t="n">
        <f aca="false">VLOOKUP(combined!A52,chronic_lung_death_rate!B:G,6,0)</f>
        <v>16.18901378613</v>
      </c>
      <c r="E52" s="1" t="n">
        <f aca="false">VLOOKUP(combined!A52,cancer!B:E,4,0)</f>
        <v>41.69</v>
      </c>
      <c r="F52" s="1" t="n">
        <f aca="false">VLOOKUP(combined!A52,lung_cancer!B:E,4,0)</f>
        <v>1.78</v>
      </c>
      <c r="G52" s="1" t="n">
        <f aca="false">VLOOKUP(combined!A52,life_expect!B:C,2,0)</f>
        <v>68.62</v>
      </c>
    </row>
    <row r="53" customFormat="false" ht="12.8" hidden="false" customHeight="false" outlineLevel="0" collapsed="false">
      <c r="A53" s="0" t="str">
        <f aca="false">air_poll_mean!B53</f>
        <v>Estonia</v>
      </c>
      <c r="B53" s="0" t="n">
        <f aca="false">air_poll_mean!C53</f>
        <v>38.8333333333333</v>
      </c>
      <c r="C53" s="1" t="n">
        <f aca="false">VLOOKUP(combined!A53,coal_mean_per_year!B:C,2,0)</f>
        <v>44.7233434</v>
      </c>
      <c r="D53" s="1" t="n">
        <f aca="false">VLOOKUP(combined!A53,chronic_lung_death_rate!B:G,6,0)</f>
        <v>19.3717911494507</v>
      </c>
      <c r="E53" s="1" t="n">
        <f aca="false">VLOOKUP(combined!A53,cancer!B:E,4,0)</f>
        <v>227.47</v>
      </c>
      <c r="F53" s="1" t="n">
        <f aca="false">VLOOKUP(combined!A53,lung_cancer!B:E,4,0)</f>
        <v>13.71</v>
      </c>
      <c r="G53" s="1" t="n">
        <f aca="false">VLOOKUP(combined!A53,life_expect!B:C,2,0)</f>
        <v>79.15</v>
      </c>
    </row>
    <row r="54" customFormat="false" ht="12.8" hidden="false" customHeight="false" outlineLevel="0" collapsed="false">
      <c r="A54" s="0" t="str">
        <f aca="false">air_poll_mean!B54</f>
        <v>Ethiopia</v>
      </c>
      <c r="B54" s="0" t="n">
        <f aca="false">air_poll_mean!C54</f>
        <v>78.7317073170732</v>
      </c>
      <c r="C54" s="1" t="e">
        <f aca="false">VLOOKUP(combined!A54,coal_mean_per_year!B:C,2,0)</f>
        <v>#N/A</v>
      </c>
      <c r="D54" s="1" t="n">
        <f aca="false">VLOOKUP(combined!A54,chronic_lung_death_rate!B:G,6,0)</f>
        <v>12.3728684365891</v>
      </c>
      <c r="E54" s="1" t="n">
        <f aca="false">VLOOKUP(combined!A54,cancer!B:E,4,0)</f>
        <v>49.45</v>
      </c>
      <c r="F54" s="1" t="n">
        <f aca="false">VLOOKUP(combined!A54,lung_cancer!B:E,4,0)</f>
        <v>2.02</v>
      </c>
      <c r="G54" s="1" t="n">
        <f aca="false">VLOOKUP(combined!A54,life_expect!B:C,2,0)</f>
        <v>67.31</v>
      </c>
    </row>
    <row r="55" customFormat="false" ht="12.8" hidden="false" customHeight="false" outlineLevel="0" collapsed="false">
      <c r="A55" s="0" t="str">
        <f aca="false">air_poll_mean!B55</f>
        <v>Finland</v>
      </c>
      <c r="B55" s="0" t="n">
        <f aca="false">air_poll_mean!C55</f>
        <v>38.3703703703704</v>
      </c>
      <c r="C55" s="1" t="n">
        <f aca="false">VLOOKUP(combined!A55,coal_mean_per_year!B:C,2,0)</f>
        <v>50.3562236333333</v>
      </c>
      <c r="D55" s="1" t="n">
        <f aca="false">VLOOKUP(combined!A55,chronic_lung_death_rate!B:G,6,0)</f>
        <v>41.3655836887948</v>
      </c>
      <c r="E55" s="1" t="n">
        <f aca="false">VLOOKUP(combined!A55,cancer!B:E,4,0)</f>
        <v>232.25</v>
      </c>
      <c r="F55" s="1" t="n">
        <f aca="false">VLOOKUP(combined!A55,lung_cancer!B:E,4,0)</f>
        <v>10.02</v>
      </c>
      <c r="G55" s="1" t="n">
        <f aca="false">VLOOKUP(combined!A55,life_expect!B:C,2,0)</f>
        <v>81.91</v>
      </c>
    </row>
    <row r="56" customFormat="false" ht="12.8" hidden="false" customHeight="false" outlineLevel="0" collapsed="false">
      <c r="A56" s="0" t="str">
        <f aca="false">air_poll_mean!B56</f>
        <v>France</v>
      </c>
      <c r="B56" s="0" t="n">
        <f aca="false">air_poll_mean!C56</f>
        <v>53.3379052369077</v>
      </c>
      <c r="C56" s="1" t="n">
        <f aca="false">VLOOKUP(combined!A56,coal_mean_per_year!B:C,2,0)</f>
        <v>229.876851183333</v>
      </c>
      <c r="D56" s="1" t="n">
        <f aca="false">VLOOKUP(combined!A56,chronic_lung_death_rate!B:G,6,0)</f>
        <v>31.2589643747301</v>
      </c>
      <c r="E56" s="1" t="e">
        <f aca="false">VLOOKUP(combined!A56,cancer!B:E,4,0)</f>
        <v>#N/A</v>
      </c>
      <c r="F56" s="1" t="e">
        <f aca="false">VLOOKUP(combined!A56,lung_cancer!B:E,4,0)</f>
        <v>#N/A</v>
      </c>
      <c r="G56" s="1" t="n">
        <f aca="false">VLOOKUP(combined!A56,life_expect!B:C,2,0)</f>
        <v>83.33</v>
      </c>
    </row>
    <row r="57" customFormat="false" ht="12.8" hidden="false" customHeight="false" outlineLevel="0" collapsed="false">
      <c r="A57" s="0" t="str">
        <f aca="false">air_poll_mean!B57</f>
        <v>Gabon</v>
      </c>
      <c r="B57" s="0" t="n">
        <f aca="false">air_poll_mean!C57</f>
        <v>78.1</v>
      </c>
      <c r="C57" s="1" t="e">
        <f aca="false">VLOOKUP(combined!A57,coal_mean_per_year!B:C,2,0)</f>
        <v>#N/A</v>
      </c>
      <c r="D57" s="1" t="n">
        <f aca="false">VLOOKUP(combined!A57,chronic_lung_death_rate!B:G,6,0)</f>
        <v>28.0802897558959</v>
      </c>
      <c r="E57" s="1" t="n">
        <f aca="false">VLOOKUP(combined!A57,cancer!B:E,4,0)</f>
        <v>76.35</v>
      </c>
      <c r="F57" s="1" t="n">
        <f aca="false">VLOOKUP(combined!A57,lung_cancer!B:E,4,0)</f>
        <v>1.72</v>
      </c>
      <c r="G57" s="1" t="n">
        <f aca="false">VLOOKUP(combined!A57,life_expect!B:C,2,0)</f>
        <v>68.34</v>
      </c>
    </row>
    <row r="58" customFormat="false" ht="12.8" hidden="false" customHeight="false" outlineLevel="0" collapsed="false">
      <c r="A58" s="0" t="str">
        <f aca="false">air_poll_mean!B58</f>
        <v>Gambia</v>
      </c>
      <c r="B58" s="0" t="n">
        <f aca="false">air_poll_mean!C58</f>
        <v>147</v>
      </c>
      <c r="C58" s="1" t="e">
        <f aca="false">VLOOKUP(combined!A58,coal_mean_per_year!B:C,2,0)</f>
        <v>#N/A</v>
      </c>
      <c r="D58" s="1" t="n">
        <f aca="false">VLOOKUP(combined!A58,chronic_lung_death_rate!B:G,6,0)</f>
        <v>14.8760359047175</v>
      </c>
      <c r="E58" s="1" t="e">
        <f aca="false">VLOOKUP(combined!A58,cancer!B:E,4,0)</f>
        <v>#N/A</v>
      </c>
      <c r="F58" s="1" t="e">
        <f aca="false">VLOOKUP(combined!A58,lung_cancer!B:E,4,0)</f>
        <v>#N/A</v>
      </c>
      <c r="G58" s="1" t="n">
        <f aca="false">VLOOKUP(combined!A58,life_expect!B:C,2,0)</f>
        <v>65.86</v>
      </c>
    </row>
    <row r="59" customFormat="false" ht="12.8" hidden="false" customHeight="false" outlineLevel="0" collapsed="false">
      <c r="A59" s="0" t="str">
        <f aca="false">air_poll_mean!B59</f>
        <v>Georgia</v>
      </c>
      <c r="B59" s="0" t="n">
        <f aca="false">air_poll_mean!C59</f>
        <v>40.6</v>
      </c>
      <c r="C59" s="1" t="e">
        <f aca="false">VLOOKUP(combined!A59,coal_mean_per_year!B:C,2,0)</f>
        <v>#N/A</v>
      </c>
      <c r="D59" s="1" t="n">
        <f aca="false">VLOOKUP(combined!A59,chronic_lung_death_rate!B:G,6,0)</f>
        <v>28.7707909767109</v>
      </c>
      <c r="E59" s="1" t="n">
        <f aca="false">VLOOKUP(combined!A59,cancer!B:E,4,0)</f>
        <v>140.89</v>
      </c>
      <c r="F59" s="1" t="n">
        <f aca="false">VLOOKUP(combined!A59,lung_cancer!B:E,4,0)</f>
        <v>11.71</v>
      </c>
      <c r="G59" s="1" t="n">
        <f aca="false">VLOOKUP(combined!A59,life_expect!B:C,2,0)</f>
        <v>74.5</v>
      </c>
    </row>
    <row r="60" customFormat="false" ht="12.8" hidden="false" customHeight="false" outlineLevel="0" collapsed="false">
      <c r="A60" s="0" t="str">
        <f aca="false">air_poll_mean!B60</f>
        <v>Germany</v>
      </c>
      <c r="B60" s="0" t="n">
        <f aca="false">air_poll_mean!C60</f>
        <v>48.2468401486989</v>
      </c>
      <c r="C60" s="1" t="n">
        <f aca="false">VLOOKUP(combined!A60,coal_mean_per_year!B:C,2,0)</f>
        <v>1230.82633966667</v>
      </c>
      <c r="D60" s="1" t="n">
        <f aca="false">VLOOKUP(combined!A60,chronic_lung_death_rate!B:G,6,0)</f>
        <v>59.1542973891879</v>
      </c>
      <c r="E60" s="1" t="n">
        <f aca="false">VLOOKUP(combined!A60,cancer!B:E,4,0)</f>
        <v>212.07</v>
      </c>
      <c r="F60" s="1" t="n">
        <f aca="false">VLOOKUP(combined!A60,lung_cancer!B:E,4,0)</f>
        <v>14.99</v>
      </c>
      <c r="G60" s="1" t="n">
        <f aca="false">VLOOKUP(combined!A60,life_expect!B:C,2,0)</f>
        <v>81.38</v>
      </c>
    </row>
    <row r="61" customFormat="false" ht="12.8" hidden="false" customHeight="false" outlineLevel="0" collapsed="false">
      <c r="A61" s="0" t="str">
        <f aca="false">air_poll_mean!B61</f>
        <v>Ghana</v>
      </c>
      <c r="B61" s="0" t="n">
        <f aca="false">air_poll_mean!C61</f>
        <v>62.7931034482759</v>
      </c>
      <c r="C61" s="1" t="e">
        <f aca="false">VLOOKUP(combined!A61,coal_mean_per_year!B:C,2,0)</f>
        <v>#N/A</v>
      </c>
      <c r="D61" s="1" t="n">
        <f aca="false">VLOOKUP(combined!A61,chronic_lung_death_rate!B:G,6,0)</f>
        <v>12.5543936659763</v>
      </c>
      <c r="E61" s="1" t="n">
        <f aca="false">VLOOKUP(combined!A61,cancer!B:E,4,0)</f>
        <v>69.56</v>
      </c>
      <c r="F61" s="1" t="n">
        <f aca="false">VLOOKUP(combined!A61,lung_cancer!B:E,4,0)</f>
        <v>1.4</v>
      </c>
      <c r="G61" s="1" t="n">
        <f aca="false">VLOOKUP(combined!A61,life_expect!B:C,2,0)</f>
        <v>65.5</v>
      </c>
    </row>
    <row r="62" customFormat="false" ht="12.8" hidden="false" customHeight="false" outlineLevel="0" collapsed="false">
      <c r="A62" s="0" t="str">
        <f aca="false">air_poll_mean!B62</f>
        <v>Greece</v>
      </c>
      <c r="B62" s="0" t="n">
        <f aca="false">air_poll_mean!C62</f>
        <v>68.2884615384615</v>
      </c>
      <c r="C62" s="1" t="n">
        <f aca="false">VLOOKUP(combined!A62,coal_mean_per_year!B:C,2,0)</f>
        <v>69.3457301083333</v>
      </c>
      <c r="D62" s="1" t="n">
        <f aca="false">VLOOKUP(combined!A62,chronic_lung_death_rate!B:G,6,0)</f>
        <v>49.7207023952876</v>
      </c>
      <c r="E62" s="1" t="n">
        <f aca="false">VLOOKUP(combined!A62,cancer!B:E,4,0)</f>
        <v>203.78</v>
      </c>
      <c r="F62" s="1" t="n">
        <f aca="false">VLOOKUP(combined!A62,lung_cancer!B:E,4,0)</f>
        <v>16.4</v>
      </c>
      <c r="G62" s="1" t="n">
        <f aca="false">VLOOKUP(combined!A62,life_expect!B:C,2,0)</f>
        <v>81.86</v>
      </c>
    </row>
    <row r="63" customFormat="false" ht="12.8" hidden="false" customHeight="false" outlineLevel="0" collapsed="false">
      <c r="A63" s="0" t="str">
        <f aca="false">air_poll_mean!B63</f>
        <v>Guatemala</v>
      </c>
      <c r="B63" s="0" t="n">
        <f aca="false">air_poll_mean!C63</f>
        <v>80.9504132231405</v>
      </c>
      <c r="C63" s="1" t="e">
        <f aca="false">VLOOKUP(combined!A63,coal_mean_per_year!B:C,2,0)</f>
        <v>#N/A</v>
      </c>
      <c r="D63" s="1" t="n">
        <f aca="false">VLOOKUP(combined!A63,chronic_lung_death_rate!B:G,6,0)</f>
        <v>14.1607388353579</v>
      </c>
      <c r="E63" s="1" t="n">
        <f aca="false">VLOOKUP(combined!A63,cancer!B:E,4,0)</f>
        <v>71.6</v>
      </c>
      <c r="F63" s="1" t="n">
        <f aca="false">VLOOKUP(combined!A63,lung_cancer!B:E,4,0)</f>
        <v>1.98</v>
      </c>
      <c r="G63" s="1" t="n">
        <f aca="false">VLOOKUP(combined!A63,life_expect!B:C,2,0)</f>
        <v>72.6</v>
      </c>
    </row>
    <row r="64" customFormat="false" ht="12.8" hidden="false" customHeight="false" outlineLevel="0" collapsed="false">
      <c r="A64" s="0" t="str">
        <f aca="false">air_poll_mean!B64</f>
        <v>Guinea</v>
      </c>
      <c r="B64" s="0" t="n">
        <f aca="false">air_poll_mean!C64</f>
        <v>62.4761904761905</v>
      </c>
      <c r="C64" s="1" t="e">
        <f aca="false">VLOOKUP(combined!A64,coal_mean_per_year!B:C,2,0)</f>
        <v>#N/A</v>
      </c>
      <c r="D64" s="1" t="n">
        <f aca="false">VLOOKUP(combined!A64,chronic_lung_death_rate!B:G,6,0)</f>
        <v>17.2711121611089</v>
      </c>
      <c r="E64" s="1" t="n">
        <f aca="false">VLOOKUP(combined!A64,cancer!B:E,4,0)</f>
        <v>54.69</v>
      </c>
      <c r="F64" s="1" t="n">
        <f aca="false">VLOOKUP(combined!A64,lung_cancer!B:E,4,0)</f>
        <v>1.88</v>
      </c>
      <c r="G64" s="1" t="n">
        <f aca="false">VLOOKUP(combined!A64,life_expect!B:C,2,0)</f>
        <v>60.74</v>
      </c>
    </row>
    <row r="65" customFormat="false" ht="12.8" hidden="false" customHeight="false" outlineLevel="0" collapsed="false">
      <c r="A65" s="0" t="str">
        <f aca="false">air_poll_mean!B65</f>
        <v>Guinea-Bissau</v>
      </c>
      <c r="B65" s="0" t="n">
        <f aca="false">air_poll_mean!C65</f>
        <v>138.75</v>
      </c>
      <c r="C65" s="1" t="e">
        <f aca="false">VLOOKUP(combined!A65,coal_mean_per_year!B:C,2,0)</f>
        <v>#N/A</v>
      </c>
      <c r="D65" s="1" t="n">
        <f aca="false">VLOOKUP(combined!A65,chronic_lung_death_rate!B:G,6,0)</f>
        <v>15.171015629966</v>
      </c>
      <c r="E65" s="1" t="n">
        <f aca="false">VLOOKUP(combined!A65,cancer!B:E,4,0)</f>
        <v>42.15</v>
      </c>
      <c r="F65" s="1" t="n">
        <f aca="false">VLOOKUP(combined!A65,lung_cancer!B:E,4,0)</f>
        <v>1.53</v>
      </c>
      <c r="G65" s="1" t="n">
        <f aca="false">VLOOKUP(combined!A65,life_expect!B:C,2,0)</f>
        <v>64.08</v>
      </c>
    </row>
    <row r="66" customFormat="false" ht="12.8" hidden="false" customHeight="false" outlineLevel="0" collapsed="false">
      <c r="A66" s="0" t="str">
        <f aca="false">air_poll_mean!B66</f>
        <v>Guyana</v>
      </c>
      <c r="B66" s="0" t="n">
        <f aca="false">air_poll_mean!C66</f>
        <v>45.5</v>
      </c>
      <c r="C66" s="1" t="e">
        <f aca="false">VLOOKUP(combined!A66,coal_mean_per_year!B:C,2,0)</f>
        <v>#N/A</v>
      </c>
      <c r="D66" s="1" t="n">
        <f aca="false">VLOOKUP(combined!A66,chronic_lung_death_rate!B:G,6,0)</f>
        <v>15.3408083536157</v>
      </c>
      <c r="E66" s="1" t="n">
        <f aca="false">VLOOKUP(combined!A66,cancer!B:E,4,0)</f>
        <v>88.57</v>
      </c>
      <c r="F66" s="1" t="n">
        <f aca="false">VLOOKUP(combined!A66,lung_cancer!B:E,4,0)</f>
        <v>2.46</v>
      </c>
      <c r="G66" s="1" t="n">
        <f aca="false">VLOOKUP(combined!A66,life_expect!B:C,2,0)</f>
        <v>70.18</v>
      </c>
    </row>
    <row r="67" customFormat="false" ht="12.8" hidden="false" customHeight="false" outlineLevel="0" collapsed="false">
      <c r="A67" s="0" t="str">
        <f aca="false">air_poll_mean!B67</f>
        <v>Haiti</v>
      </c>
      <c r="B67" s="0" t="n">
        <f aca="false">air_poll_mean!C67</f>
        <v>101.722222222222</v>
      </c>
      <c r="C67" s="1" t="e">
        <f aca="false">VLOOKUP(combined!A67,coal_mean_per_year!B:C,2,0)</f>
        <v>#N/A</v>
      </c>
      <c r="D67" s="1" t="n">
        <f aca="false">VLOOKUP(combined!A67,chronic_lung_death_rate!B:G,6,0)</f>
        <v>17.8952040693777</v>
      </c>
      <c r="E67" s="1" t="n">
        <f aca="false">VLOOKUP(combined!A67,cancer!B:E,4,0)</f>
        <v>67.4</v>
      </c>
      <c r="F67" s="1" t="n">
        <f aca="false">VLOOKUP(combined!A67,lung_cancer!B:E,4,0)</f>
        <v>3.29</v>
      </c>
      <c r="G67" s="1" t="n">
        <f aca="false">VLOOKUP(combined!A67,life_expect!B:C,2,0)</f>
        <v>64.94</v>
      </c>
    </row>
    <row r="68" customFormat="false" ht="12.8" hidden="false" customHeight="false" outlineLevel="0" collapsed="false">
      <c r="A68" s="0" t="str">
        <f aca="false">air_poll_mean!B68</f>
        <v>Honduras</v>
      </c>
      <c r="B68" s="0" t="n">
        <f aca="false">air_poll_mean!C68</f>
        <v>63.4285714285714</v>
      </c>
      <c r="C68" s="1" t="e">
        <f aca="false">VLOOKUP(combined!A68,coal_mean_per_year!B:C,2,0)</f>
        <v>#N/A</v>
      </c>
      <c r="D68" s="1" t="n">
        <f aca="false">VLOOKUP(combined!A68,chronic_lung_death_rate!B:G,6,0)</f>
        <v>31.1917317112859</v>
      </c>
      <c r="E68" s="1" t="n">
        <f aca="false">VLOOKUP(combined!A68,cancer!B:E,4,0)</f>
        <v>75.21</v>
      </c>
      <c r="F68" s="1" t="n">
        <f aca="false">VLOOKUP(combined!A68,lung_cancer!B:E,4,0)</f>
        <v>3.56</v>
      </c>
      <c r="G68" s="1" t="n">
        <f aca="false">VLOOKUP(combined!A68,life_expect!B:C,2,0)</f>
        <v>72.88</v>
      </c>
    </row>
    <row r="69" customFormat="false" ht="12.8" hidden="false" customHeight="false" outlineLevel="0" collapsed="false">
      <c r="A69" s="0" t="str">
        <f aca="false">air_poll_mean!B69</f>
        <v>Hungary</v>
      </c>
      <c r="B69" s="0" t="n">
        <f aca="false">air_poll_mean!C69</f>
        <v>63.6056338028169</v>
      </c>
      <c r="C69" s="1" t="n">
        <f aca="false">VLOOKUP(combined!A69,coal_mean_per_year!B:C,2,0)</f>
        <v>61.7796292166667</v>
      </c>
      <c r="D69" s="1" t="n">
        <f aca="false">VLOOKUP(combined!A69,chronic_lung_death_rate!B:G,6,0)</f>
        <v>57.0316531355267</v>
      </c>
      <c r="E69" s="1" t="n">
        <f aca="false">VLOOKUP(combined!A69,cancer!B:E,4,0)</f>
        <v>250.24</v>
      </c>
      <c r="F69" s="1" t="n">
        <f aca="false">VLOOKUP(combined!A69,lung_cancer!B:E,4,0)</f>
        <v>25.8</v>
      </c>
      <c r="G69" s="1" t="n">
        <f aca="false">VLOOKUP(combined!A69,life_expect!B:C,2,0)</f>
        <v>77.02</v>
      </c>
    </row>
    <row r="70" customFormat="false" ht="12.8" hidden="false" customHeight="false" outlineLevel="0" collapsed="false">
      <c r="A70" s="0" t="str">
        <f aca="false">air_poll_mean!B70</f>
        <v>Iceland</v>
      </c>
      <c r="B70" s="0" t="n">
        <f aca="false">air_poll_mean!C70</f>
        <v>23</v>
      </c>
      <c r="C70" s="1" t="n">
        <f aca="false">VLOOKUP(combined!A70,coal_mean_per_year!B:C,2,0)</f>
        <v>0.726027910123333</v>
      </c>
      <c r="D70" s="1" t="n">
        <f aca="false">VLOOKUP(combined!A70,chronic_lung_death_rate!B:G,6,0)</f>
        <v>40.5756618107609</v>
      </c>
      <c r="E70" s="1" t="n">
        <f aca="false">VLOOKUP(combined!A70,cancer!B:E,4,0)</f>
        <v>225.51</v>
      </c>
      <c r="F70" s="1" t="n">
        <f aca="false">VLOOKUP(combined!A70,lung_cancer!B:E,4,0)</f>
        <v>14.46</v>
      </c>
      <c r="G70" s="1" t="n">
        <f aca="false">VLOOKUP(combined!A70,life_expect!B:C,2,0)</f>
        <v>82.69</v>
      </c>
    </row>
    <row r="71" customFormat="false" ht="12.8" hidden="false" customHeight="false" outlineLevel="0" collapsed="false">
      <c r="A71" s="0" t="str">
        <f aca="false">air_poll_mean!B71</f>
        <v>India</v>
      </c>
      <c r="B71" s="0" t="n">
        <f aca="false">air_poll_mean!C71</f>
        <v>152.96422829582</v>
      </c>
      <c r="C71" s="1" t="n">
        <f aca="false">VLOOKUP(combined!A71,coal_mean_per_year!B:C,2,0)</f>
        <v>2120.83348316667</v>
      </c>
      <c r="D71" s="1" t="n">
        <f aca="false">VLOOKUP(combined!A71,chronic_lung_death_rate!B:G,6,0)</f>
        <v>86.881661757848</v>
      </c>
      <c r="E71" s="1" t="n">
        <f aca="false">VLOOKUP(combined!A71,cancer!B:E,4,0)</f>
        <v>58.98</v>
      </c>
      <c r="F71" s="1" t="n">
        <f aca="false">VLOOKUP(combined!A71,lung_cancer!B:E,4,0)</f>
        <v>3.09</v>
      </c>
      <c r="G71" s="1" t="n">
        <f aca="false">VLOOKUP(combined!A71,life_expect!B:C,2,0)</f>
        <v>72</v>
      </c>
    </row>
    <row r="72" customFormat="false" ht="12.8" hidden="false" customHeight="false" outlineLevel="0" collapsed="false">
      <c r="A72" s="0" t="str">
        <f aca="false">air_poll_mean!B72</f>
        <v>Indonesia</v>
      </c>
      <c r="B72" s="0" t="n">
        <f aca="false">air_poll_mean!C72</f>
        <v>93.0369393139842</v>
      </c>
      <c r="C72" s="1" t="n">
        <f aca="false">VLOOKUP(combined!A72,coal_mean_per_year!B:C,2,0)</f>
        <v>240.098081786833</v>
      </c>
      <c r="D72" s="1" t="n">
        <f aca="false">VLOOKUP(combined!A72,chronic_lung_death_rate!B:G,6,0)</f>
        <v>36.463940205111</v>
      </c>
      <c r="E72" s="1" t="n">
        <f aca="false">VLOOKUP(combined!A72,cancer!B:E,4,0)</f>
        <v>84.54</v>
      </c>
      <c r="F72" s="1" t="n">
        <f aca="false">VLOOKUP(combined!A72,lung_cancer!B:E,4,0)</f>
        <v>6.81</v>
      </c>
      <c r="G72" s="1" t="n">
        <f aca="false">VLOOKUP(combined!A72,life_expect!B:C,2,0)</f>
        <v>71.15</v>
      </c>
    </row>
    <row r="73" customFormat="false" ht="12.8" hidden="false" customHeight="false" outlineLevel="0" collapsed="false">
      <c r="A73" s="0" t="str">
        <f aca="false">air_poll_mean!B73</f>
        <v>Iran (Islamic Republic of)</v>
      </c>
      <c r="B73" s="0" t="n">
        <f aca="false">air_poll_mean!C73</f>
        <v>108.296089385475</v>
      </c>
      <c r="C73" s="1" t="e">
        <f aca="false">VLOOKUP(combined!A73,coal_mean_per_year!B:C,2,0)</f>
        <v>#N/A</v>
      </c>
      <c r="D73" s="1" t="n">
        <f aca="false">VLOOKUP(combined!A73,chronic_lung_death_rate!B:G,6,0)</f>
        <v>21.6237419247623</v>
      </c>
      <c r="E73" s="1" t="e">
        <f aca="false">VLOOKUP(combined!A73,cancer!B:E,4,0)</f>
        <v>#N/A</v>
      </c>
      <c r="F73" s="1" t="e">
        <f aca="false">VLOOKUP(combined!A73,lung_cancer!B:E,4,0)</f>
        <v>#N/A</v>
      </c>
      <c r="G73" s="1" t="e">
        <f aca="false">VLOOKUP(combined!A73,life_expect!B:C,2,0)</f>
        <v>#N/A</v>
      </c>
    </row>
    <row r="74" customFormat="false" ht="12.8" hidden="false" customHeight="false" outlineLevel="0" collapsed="false">
      <c r="A74" s="0" t="str">
        <f aca="false">air_poll_mean!B74</f>
        <v>Iraq</v>
      </c>
      <c r="B74" s="0" t="n">
        <f aca="false">air_poll_mean!C74</f>
        <v>114.071428571429</v>
      </c>
      <c r="C74" s="1" t="n">
        <f aca="false">VLOOKUP(combined!A74,coal_mean_per_year!B:C,2,0)</f>
        <v>0</v>
      </c>
      <c r="D74" s="1" t="n">
        <f aca="false">VLOOKUP(combined!A74,chronic_lung_death_rate!B:G,6,0)</f>
        <v>18.4524556372431</v>
      </c>
      <c r="E74" s="1" t="n">
        <f aca="false">VLOOKUP(combined!A74,cancer!B:E,4,0)</f>
        <v>84.65</v>
      </c>
      <c r="F74" s="1" t="n">
        <f aca="false">VLOOKUP(combined!A74,lung_cancer!B:E,4,0)</f>
        <v>6.42</v>
      </c>
      <c r="G74" s="1" t="n">
        <f aca="false">VLOOKUP(combined!A74,life_expect!B:C,2,0)</f>
        <v>72.32</v>
      </c>
    </row>
    <row r="75" customFormat="false" ht="12.8" hidden="false" customHeight="false" outlineLevel="0" collapsed="false">
      <c r="A75" s="0" t="str">
        <f aca="false">air_poll_mean!B75</f>
        <v>Ireland</v>
      </c>
      <c r="B75" s="0" t="n">
        <f aca="false">air_poll_mean!C75</f>
        <v>40.2258064516129</v>
      </c>
      <c r="C75" s="1" t="n">
        <f aca="false">VLOOKUP(combined!A75,coal_mean_per_year!B:C,2,0)</f>
        <v>27.5538771083333</v>
      </c>
      <c r="D75" s="1" t="n">
        <f aca="false">VLOOKUP(combined!A75,chronic_lung_death_rate!B:G,6,0)</f>
        <v>53.7381027958505</v>
      </c>
      <c r="E75" s="1" t="n">
        <f aca="false">VLOOKUP(combined!A75,cancer!B:E,4,0)</f>
        <v>268.19</v>
      </c>
      <c r="F75" s="1" t="n">
        <f aca="false">VLOOKUP(combined!A75,lung_cancer!B:E,4,0)</f>
        <v>16.6</v>
      </c>
      <c r="G75" s="1" t="n">
        <f aca="false">VLOOKUP(combined!A75,life_expect!B:C,2,0)</f>
        <v>82.41</v>
      </c>
    </row>
    <row r="76" customFormat="false" ht="12.8" hidden="false" customHeight="false" outlineLevel="0" collapsed="false">
      <c r="A76" s="0" t="str">
        <f aca="false">air_poll_mean!B76</f>
        <v>Israel</v>
      </c>
      <c r="B76" s="0" t="n">
        <f aca="false">air_poll_mean!C76</f>
        <v>87.4042553191489</v>
      </c>
      <c r="C76" s="1" t="n">
        <f aca="false">VLOOKUP(combined!A76,coal_mean_per_year!B:C,2,0)</f>
        <v>41.5419665</v>
      </c>
      <c r="D76" s="1" t="n">
        <f aca="false">VLOOKUP(combined!A76,chronic_lung_death_rate!B:G,6,0)</f>
        <v>22.0810541142133</v>
      </c>
      <c r="E76" s="1" t="n">
        <f aca="false">VLOOKUP(combined!A76,cancer!B:E,4,0)</f>
        <v>204.98</v>
      </c>
      <c r="F76" s="1" t="n">
        <f aca="false">VLOOKUP(combined!A76,lung_cancer!B:E,4,0)</f>
        <v>12</v>
      </c>
      <c r="G76" s="1" t="n">
        <f aca="false">VLOOKUP(combined!A76,life_expect!B:C,2,0)</f>
        <v>82.41</v>
      </c>
    </row>
    <row r="77" customFormat="false" ht="12.8" hidden="false" customHeight="false" outlineLevel="0" collapsed="false">
      <c r="A77" s="0" t="str">
        <f aca="false">air_poll_mean!B77</f>
        <v>Italy</v>
      </c>
      <c r="B77" s="0" t="n">
        <f aca="false">air_poll_mean!C77</f>
        <v>62.0040858018386</v>
      </c>
      <c r="C77" s="1" t="n">
        <f aca="false">VLOOKUP(combined!A77,coal_mean_per_year!B:C,2,0)</f>
        <v>135.45015925</v>
      </c>
      <c r="D77" s="1" t="n">
        <f aca="false">VLOOKUP(combined!A77,chronic_lung_death_rate!B:G,6,0)</f>
        <v>55.5168264058243</v>
      </c>
      <c r="E77" s="1" t="n">
        <f aca="false">VLOOKUP(combined!A77,cancer!B:E,4,0)</f>
        <v>223.33</v>
      </c>
      <c r="F77" s="1" t="n">
        <f aca="false">VLOOKUP(combined!A77,lung_cancer!B:E,4,0)</f>
        <v>12.9</v>
      </c>
      <c r="G77" s="1" t="n">
        <f aca="false">VLOOKUP(combined!A77,life_expect!B:C,2,0)</f>
        <v>83.72</v>
      </c>
    </row>
    <row r="78" customFormat="false" ht="12.8" hidden="false" customHeight="false" outlineLevel="0" collapsed="false">
      <c r="A78" s="0" t="str">
        <f aca="false">air_poll_mean!B78</f>
        <v>Jamaica</v>
      </c>
      <c r="B78" s="0" t="n">
        <f aca="false">air_poll_mean!C78</f>
        <v>90.6666666666667</v>
      </c>
      <c r="C78" s="1" t="e">
        <f aca="false">VLOOKUP(combined!A78,coal_mean_per_year!B:C,2,0)</f>
        <v>#N/A</v>
      </c>
      <c r="D78" s="1" t="n">
        <f aca="false">VLOOKUP(combined!A78,chronic_lung_death_rate!B:G,6,0)</f>
        <v>19.3321378745215</v>
      </c>
      <c r="E78" s="1" t="n">
        <f aca="false">VLOOKUP(combined!A78,cancer!B:E,4,0)</f>
        <v>135.42</v>
      </c>
      <c r="F78" s="1" t="n">
        <f aca="false">VLOOKUP(combined!A78,lung_cancer!B:E,4,0)</f>
        <v>7.41</v>
      </c>
      <c r="G78" s="1" t="n">
        <f aca="false">VLOOKUP(combined!A78,life_expect!B:C,2,0)</f>
        <v>71.48</v>
      </c>
    </row>
    <row r="79" customFormat="false" ht="12.8" hidden="false" customHeight="false" outlineLevel="0" collapsed="false">
      <c r="A79" s="0" t="str">
        <f aca="false">air_poll_mean!B79</f>
        <v>Japan</v>
      </c>
      <c r="B79" s="0" t="n">
        <f aca="false">air_poll_mean!C79</f>
        <v>51.7236467236467</v>
      </c>
      <c r="C79" s="1" t="n">
        <f aca="false">VLOOKUP(combined!A79,coal_mean_per_year!B:C,2,0)</f>
        <v>998.194807166667</v>
      </c>
      <c r="D79" s="1" t="n">
        <f aca="false">VLOOKUP(combined!A79,chronic_lung_death_rate!B:G,6,0)</f>
        <v>61.3685673498238</v>
      </c>
      <c r="E79" s="1" t="n">
        <f aca="false">VLOOKUP(combined!A79,cancer!B:E,4,0)</f>
        <v>215.75</v>
      </c>
      <c r="F79" s="1" t="n">
        <f aca="false">VLOOKUP(combined!A79,lung_cancer!B:E,4,0)</f>
        <v>15.71</v>
      </c>
      <c r="G79" s="1" t="n">
        <f aca="false">VLOOKUP(combined!A79,life_expect!B:C,2,0)</f>
        <v>84.71</v>
      </c>
    </row>
    <row r="80" customFormat="false" ht="12.8" hidden="false" customHeight="false" outlineLevel="0" collapsed="false">
      <c r="A80" s="0" t="str">
        <f aca="false">air_poll_mean!B80</f>
        <v>Jordan</v>
      </c>
      <c r="B80" s="0" t="n">
        <f aca="false">air_poll_mean!C80</f>
        <v>96.8333333333333</v>
      </c>
      <c r="C80" s="1" t="e">
        <f aca="false">VLOOKUP(combined!A80,coal_mean_per_year!B:C,2,0)</f>
        <v>#N/A</v>
      </c>
      <c r="D80" s="1" t="n">
        <f aca="false">VLOOKUP(combined!A80,chronic_lung_death_rate!B:G,6,0)</f>
        <v>7.99882005225824</v>
      </c>
      <c r="E80" s="1" t="n">
        <f aca="false">VLOOKUP(combined!A80,cancer!B:E,4,0)</f>
        <v>102.36</v>
      </c>
      <c r="F80" s="1" t="n">
        <f aca="false">VLOOKUP(combined!A80,lung_cancer!B:E,4,0)</f>
        <v>7.6</v>
      </c>
      <c r="G80" s="1" t="n">
        <f aca="false">VLOOKUP(combined!A80,life_expect!B:C,2,0)</f>
        <v>77.81</v>
      </c>
    </row>
    <row r="81" customFormat="false" ht="12.8" hidden="false" customHeight="false" outlineLevel="0" collapsed="false">
      <c r="A81" s="0" t="str">
        <f aca="false">air_poll_mean!B81</f>
        <v>Kazakhstan</v>
      </c>
      <c r="B81" s="0" t="n">
        <f aca="false">air_poll_mean!C81</f>
        <v>61.2112676056338</v>
      </c>
      <c r="C81" s="1" t="n">
        <f aca="false">VLOOKUP(combined!A81,coal_mean_per_year!B:C,2,0)</f>
        <v>373.51129225</v>
      </c>
      <c r="D81" s="1" t="n">
        <f aca="false">VLOOKUP(combined!A81,chronic_lung_death_rate!B:G,6,0)</f>
        <v>70.5052302335606</v>
      </c>
      <c r="E81" s="1" t="n">
        <f aca="false">VLOOKUP(combined!A81,cancer!B:E,4,0)</f>
        <v>110.87</v>
      </c>
      <c r="F81" s="1" t="n">
        <f aca="false">VLOOKUP(combined!A81,lung_cancer!B:E,4,0)</f>
        <v>10.52</v>
      </c>
      <c r="G81" s="1" t="n">
        <f aca="false">VLOOKUP(combined!A81,life_expect!B:C,2,0)</f>
        <v>74.4</v>
      </c>
    </row>
    <row r="82" customFormat="false" ht="12.8" hidden="false" customHeight="false" outlineLevel="0" collapsed="false">
      <c r="A82" s="0" t="str">
        <f aca="false">air_poll_mean!B82</f>
        <v>Kenya</v>
      </c>
      <c r="B82" s="0" t="n">
        <f aca="false">air_poll_mean!C82</f>
        <v>74.1666666666667</v>
      </c>
      <c r="C82" s="1" t="e">
        <f aca="false">VLOOKUP(combined!A82,coal_mean_per_year!B:C,2,0)</f>
        <v>#N/A</v>
      </c>
      <c r="D82" s="1" t="n">
        <f aca="false">VLOOKUP(combined!A82,chronic_lung_death_rate!B:G,6,0)</f>
        <v>11.0678967927162</v>
      </c>
      <c r="E82" s="1" t="n">
        <f aca="false">VLOOKUP(combined!A82,cancer!B:E,4,0)</f>
        <v>84.18</v>
      </c>
      <c r="F82" s="1" t="n">
        <f aca="false">VLOOKUP(combined!A82,lung_cancer!B:E,4,0)</f>
        <v>1.87</v>
      </c>
      <c r="G82" s="1" t="n">
        <f aca="false">VLOOKUP(combined!A82,life_expect!B:C,2,0)</f>
        <v>63.65</v>
      </c>
    </row>
    <row r="83" customFormat="false" ht="12.8" hidden="false" customHeight="false" outlineLevel="0" collapsed="false">
      <c r="A83" s="0" t="str">
        <f aca="false">air_poll_mean!B83</f>
        <v>Kingdom of Eswatini</v>
      </c>
      <c r="B83" s="0" t="n">
        <f aca="false">air_poll_mean!C83</f>
        <v>119.333333333333</v>
      </c>
      <c r="C83" s="1" t="e">
        <f aca="false">VLOOKUP(combined!A83,coal_mean_per_year!B:C,2,0)</f>
        <v>#N/A</v>
      </c>
      <c r="D83" s="1" t="e">
        <f aca="false">VLOOKUP(combined!A83,chronic_lung_death_rate!B:G,6,0)</f>
        <v>#N/A</v>
      </c>
      <c r="E83" s="1" t="e">
        <f aca="false">VLOOKUP(combined!A83,cancer!B:E,4,0)</f>
        <v>#N/A</v>
      </c>
      <c r="F83" s="1" t="e">
        <f aca="false">VLOOKUP(combined!A83,lung_cancer!B:E,4,0)</f>
        <v>#N/A</v>
      </c>
      <c r="G83" s="1" t="e">
        <f aca="false">VLOOKUP(combined!A83,life_expect!B:C,2,0)</f>
        <v>#N/A</v>
      </c>
    </row>
    <row r="84" customFormat="false" ht="12.8" hidden="false" customHeight="false" outlineLevel="0" collapsed="false">
      <c r="A84" s="0" t="str">
        <f aca="false">air_poll_mean!B84</f>
        <v>Kuwait</v>
      </c>
      <c r="B84" s="0" t="n">
        <f aca="false">air_poll_mean!C84</f>
        <v>162</v>
      </c>
      <c r="C84" s="1" t="n">
        <f aca="false">VLOOKUP(combined!A84,coal_mean_per_year!B:C,2,0)</f>
        <v>0.378344380853333</v>
      </c>
      <c r="D84" s="1" t="n">
        <f aca="false">VLOOKUP(combined!A84,chronic_lung_death_rate!B:G,6,0)</f>
        <v>2.6706857626217</v>
      </c>
      <c r="E84" s="1" t="n">
        <f aca="false">VLOOKUP(combined!A84,cancer!B:E,4,0)</f>
        <v>80.9</v>
      </c>
      <c r="F84" s="1" t="n">
        <f aca="false">VLOOKUP(combined!A84,lung_cancer!B:E,4,0)</f>
        <v>3.27</v>
      </c>
      <c r="G84" s="1" t="n">
        <f aca="false">VLOOKUP(combined!A84,life_expect!B:C,2,0)</f>
        <v>80.41</v>
      </c>
    </row>
    <row r="85" customFormat="false" ht="12.8" hidden="false" customHeight="false" outlineLevel="0" collapsed="false">
      <c r="A85" s="0" t="str">
        <f aca="false">air_poll_mean!B85</f>
        <v>Kyrgyzstan</v>
      </c>
      <c r="B85" s="0" t="n">
        <f aca="false">air_poll_mean!C85</f>
        <v>81.5384615384615</v>
      </c>
      <c r="C85" s="1" t="e">
        <f aca="false">VLOOKUP(combined!A85,coal_mean_per_year!B:C,2,0)</f>
        <v>#N/A</v>
      </c>
      <c r="D85" s="1" t="n">
        <f aca="false">VLOOKUP(combined!A85,chronic_lung_death_rate!B:G,6,0)</f>
        <v>14.4078095839037</v>
      </c>
      <c r="E85" s="1" t="n">
        <f aca="false">VLOOKUP(combined!A85,cancer!B:E,4,0)</f>
        <v>75.19</v>
      </c>
      <c r="F85" s="1" t="n">
        <f aca="false">VLOOKUP(combined!A85,lung_cancer!B:E,4,0)</f>
        <v>7.47</v>
      </c>
      <c r="G85" s="1" t="n">
        <f aca="false">VLOOKUP(combined!A85,life_expect!B:C,2,0)</f>
        <v>71.68</v>
      </c>
    </row>
    <row r="86" customFormat="false" ht="12.8" hidden="false" customHeight="false" outlineLevel="0" collapsed="false">
      <c r="A86" s="0" t="str">
        <f aca="false">air_poll_mean!B86</f>
        <v>Lao People's Democratic Republic</v>
      </c>
      <c r="B86" s="0" t="n">
        <f aca="false">air_poll_mean!C86</f>
        <v>43.5</v>
      </c>
      <c r="C86" s="1" t="e">
        <f aca="false">VLOOKUP(combined!A86,coal_mean_per_year!B:C,2,0)</f>
        <v>#N/A</v>
      </c>
      <c r="D86" s="1" t="n">
        <f aca="false">VLOOKUP(combined!A86,chronic_lung_death_rate!B:G,6,0)</f>
        <v>37.3264545308667</v>
      </c>
      <c r="E86" s="1" t="n">
        <f aca="false">VLOOKUP(combined!A86,cancer!B:E,4,0)</f>
        <v>88.14</v>
      </c>
      <c r="F86" s="1" t="n">
        <f aca="false">VLOOKUP(combined!A86,lung_cancer!B:E,4,0)</f>
        <v>9.46</v>
      </c>
      <c r="G86" s="1" t="e">
        <f aca="false">VLOOKUP(combined!A86,life_expect!B:C,2,0)</f>
        <v>#N/A</v>
      </c>
    </row>
    <row r="87" customFormat="false" ht="12.8" hidden="false" customHeight="false" outlineLevel="0" collapsed="false">
      <c r="A87" s="0" t="str">
        <f aca="false">air_poll_mean!B87</f>
        <v>Latvia</v>
      </c>
      <c r="B87" s="0" t="n">
        <f aca="false">air_poll_mean!C87</f>
        <v>39.9090909090909</v>
      </c>
      <c r="C87" s="1" t="n">
        <f aca="false">VLOOKUP(combined!A87,coal_mean_per_year!B:C,2,0)</f>
        <v>2.76777553425</v>
      </c>
      <c r="D87" s="1" t="n">
        <f aca="false">VLOOKUP(combined!A87,chronic_lung_death_rate!B:G,6,0)</f>
        <v>17.3100583736043</v>
      </c>
      <c r="E87" s="1" t="n">
        <f aca="false">VLOOKUP(combined!A87,cancer!B:E,4,0)</f>
        <v>222.44</v>
      </c>
      <c r="F87" s="1" t="n">
        <f aca="false">VLOOKUP(combined!A87,lung_cancer!B:E,4,0)</f>
        <v>12.48</v>
      </c>
      <c r="G87" s="1" t="n">
        <f aca="false">VLOOKUP(combined!A87,life_expect!B:C,2,0)</f>
        <v>76.19</v>
      </c>
    </row>
    <row r="88" customFormat="false" ht="12.8" hidden="false" customHeight="false" outlineLevel="0" collapsed="false">
      <c r="A88" s="0" t="str">
        <f aca="false">air_poll_mean!B88</f>
        <v>Lebanon</v>
      </c>
      <c r="B88" s="0" t="n">
        <f aca="false">air_poll_mean!C88</f>
        <v>72</v>
      </c>
      <c r="C88" s="1" t="e">
        <f aca="false">VLOOKUP(combined!A88,coal_mean_per_year!B:C,2,0)</f>
        <v>#N/A</v>
      </c>
      <c r="D88" s="1" t="n">
        <f aca="false">VLOOKUP(combined!A88,chronic_lung_death_rate!B:G,6,0)</f>
        <v>27.0035471001957</v>
      </c>
      <c r="E88" s="1" t="n">
        <f aca="false">VLOOKUP(combined!A88,cancer!B:E,4,0)</f>
        <v>111.31</v>
      </c>
      <c r="F88" s="1" t="n">
        <f aca="false">VLOOKUP(combined!A88,lung_cancer!B:E,4,0)</f>
        <v>10.56</v>
      </c>
      <c r="G88" s="1" t="n">
        <f aca="false">VLOOKUP(combined!A88,life_expect!B:C,2,0)</f>
        <v>77.82</v>
      </c>
    </row>
    <row r="89" customFormat="false" ht="12.8" hidden="false" customHeight="false" outlineLevel="0" collapsed="false">
      <c r="A89" s="0" t="str">
        <f aca="false">air_poll_mean!B89</f>
        <v>Lesotho</v>
      </c>
      <c r="B89" s="0" t="n">
        <f aca="false">air_poll_mean!C89</f>
        <v>89.6</v>
      </c>
      <c r="C89" s="1" t="e">
        <f aca="false">VLOOKUP(combined!A89,coal_mean_per_year!B:C,2,0)</f>
        <v>#N/A</v>
      </c>
      <c r="D89" s="1" t="n">
        <f aca="false">VLOOKUP(combined!A89,chronic_lung_death_rate!B:G,6,0)</f>
        <v>48.8188562939993</v>
      </c>
      <c r="E89" s="1" t="n">
        <f aca="false">VLOOKUP(combined!A89,cancer!B:E,4,0)</f>
        <v>60.31</v>
      </c>
      <c r="F89" s="1" t="n">
        <f aca="false">VLOOKUP(combined!A89,lung_cancer!B:E,4,0)</f>
        <v>2.32</v>
      </c>
      <c r="G89" s="1" t="n">
        <f aca="false">VLOOKUP(combined!A89,life_expect!B:C,2,0)</f>
        <v>57.38</v>
      </c>
    </row>
    <row r="90" customFormat="false" ht="12.8" hidden="false" customHeight="false" outlineLevel="0" collapsed="false">
      <c r="A90" s="0" t="str">
        <f aca="false">air_poll_mean!B90</f>
        <v>Liberia</v>
      </c>
      <c r="B90" s="0" t="n">
        <f aca="false">air_poll_mean!C90</f>
        <v>38</v>
      </c>
      <c r="C90" s="1" t="e">
        <f aca="false">VLOOKUP(combined!A90,coal_mean_per_year!B:C,2,0)</f>
        <v>#N/A</v>
      </c>
      <c r="D90" s="1" t="n">
        <f aca="false">VLOOKUP(combined!A90,chronic_lung_death_rate!B:G,6,0)</f>
        <v>15.2872701875531</v>
      </c>
      <c r="E90" s="1" t="n">
        <f aca="false">VLOOKUP(combined!A90,cancer!B:E,4,0)</f>
        <v>53.21</v>
      </c>
      <c r="F90" s="1" t="n">
        <f aca="false">VLOOKUP(combined!A90,lung_cancer!B:E,4,0)</f>
        <v>1.45</v>
      </c>
      <c r="G90" s="1" t="n">
        <f aca="false">VLOOKUP(combined!A90,life_expect!B:C,2,0)</f>
        <v>62.16</v>
      </c>
    </row>
    <row r="91" customFormat="false" ht="12.8" hidden="false" customHeight="false" outlineLevel="0" collapsed="false">
      <c r="A91" s="0" t="str">
        <f aca="false">air_poll_mean!B91</f>
        <v>Libya</v>
      </c>
      <c r="B91" s="0" t="n">
        <f aca="false">air_poll_mean!C91</f>
        <v>105.4</v>
      </c>
      <c r="C91" s="1" t="e">
        <f aca="false">VLOOKUP(combined!A91,coal_mean_per_year!B:C,2,0)</f>
        <v>#N/A</v>
      </c>
      <c r="D91" s="1" t="n">
        <f aca="false">VLOOKUP(combined!A91,chronic_lung_death_rate!B:G,6,0)</f>
        <v>12.6935721632954</v>
      </c>
      <c r="E91" s="1" t="n">
        <f aca="false">VLOOKUP(combined!A91,cancer!B:E,4,0)</f>
        <v>84.17</v>
      </c>
      <c r="F91" s="1" t="n">
        <f aca="false">VLOOKUP(combined!A91,lung_cancer!B:E,4,0)</f>
        <v>8.22</v>
      </c>
      <c r="G91" s="1" t="n">
        <f aca="false">VLOOKUP(combined!A91,life_expect!B:C,2,0)</f>
        <v>69.34</v>
      </c>
    </row>
    <row r="92" customFormat="false" ht="12.8" hidden="false" customHeight="false" outlineLevel="0" collapsed="false">
      <c r="A92" s="0" t="str">
        <f aca="false">air_poll_mean!B92</f>
        <v>Lithuania</v>
      </c>
      <c r="B92" s="0" t="n">
        <f aca="false">air_poll_mean!C92</f>
        <v>38.1315789473684</v>
      </c>
      <c r="C92" s="1" t="n">
        <f aca="false">VLOOKUP(combined!A92,coal_mean_per_year!B:C,2,0)</f>
        <v>3.7359213425</v>
      </c>
      <c r="D92" s="1" t="n">
        <f aca="false">VLOOKUP(combined!A92,chronic_lung_death_rate!B:G,6,0)</f>
        <v>20.2040084944392</v>
      </c>
      <c r="E92" s="1" t="n">
        <f aca="false">VLOOKUP(combined!A92,cancer!B:E,4,0)</f>
        <v>232.95</v>
      </c>
      <c r="F92" s="1" t="n">
        <f aca="false">VLOOKUP(combined!A92,lung_cancer!B:E,4,0)</f>
        <v>13</v>
      </c>
      <c r="G92" s="1" t="n">
        <f aca="false">VLOOKUP(combined!A92,life_expect!B:C,2,0)</f>
        <v>76.03</v>
      </c>
    </row>
    <row r="93" customFormat="false" ht="12.8" hidden="false" customHeight="false" outlineLevel="0" collapsed="false">
      <c r="A93" s="0" t="str">
        <f aca="false">air_poll_mean!B93</f>
        <v>Luxembourg</v>
      </c>
      <c r="B93" s="0" t="n">
        <f aca="false">air_poll_mean!C93</f>
        <v>44.5</v>
      </c>
      <c r="C93" s="1" t="n">
        <f aca="false">VLOOKUP(combined!A93,coal_mean_per_year!B:C,2,0)</f>
        <v>10.6484955121667</v>
      </c>
      <c r="D93" s="1" t="n">
        <f aca="false">VLOOKUP(combined!A93,chronic_lung_death_rate!B:G,6,0)</f>
        <v>37.5076408958501</v>
      </c>
      <c r="E93" s="1" t="n">
        <f aca="false">VLOOKUP(combined!A93,cancer!B:E,4,0)</f>
        <v>209.14</v>
      </c>
      <c r="F93" s="1" t="n">
        <f aca="false">VLOOKUP(combined!A93,lung_cancer!B:E,4,0)</f>
        <v>13.19</v>
      </c>
      <c r="G93" s="1" t="n">
        <f aca="false">VLOOKUP(combined!A93,life_expect!B:C,2,0)</f>
        <v>82.23</v>
      </c>
    </row>
    <row r="94" customFormat="false" ht="12.8" hidden="false" customHeight="false" outlineLevel="0" collapsed="false">
      <c r="A94" s="0" t="str">
        <f aca="false">air_poll_mean!B94</f>
        <v>Madagascar</v>
      </c>
      <c r="B94" s="0" t="n">
        <f aca="false">air_poll_mean!C94</f>
        <v>30.9538461538462</v>
      </c>
      <c r="C94" s="1" t="e">
        <f aca="false">VLOOKUP(combined!A94,coal_mean_per_year!B:C,2,0)</f>
        <v>#N/A</v>
      </c>
      <c r="D94" s="1" t="n">
        <f aca="false">VLOOKUP(combined!A94,chronic_lung_death_rate!B:G,6,0)</f>
        <v>10.9947098903554</v>
      </c>
      <c r="E94" s="1" t="n">
        <f aca="false">VLOOKUP(combined!A94,cancer!B:E,4,0)</f>
        <v>59.09</v>
      </c>
      <c r="F94" s="1" t="n">
        <f aca="false">VLOOKUP(combined!A94,lung_cancer!B:E,4,0)</f>
        <v>1.13</v>
      </c>
      <c r="G94" s="1" t="n">
        <f aca="false">VLOOKUP(combined!A94,life_expect!B:C,2,0)</f>
        <v>63.63</v>
      </c>
    </row>
    <row r="95" customFormat="false" ht="12.8" hidden="false" customHeight="false" outlineLevel="0" collapsed="false">
      <c r="A95" s="0" t="str">
        <f aca="false">air_poll_mean!B95</f>
        <v>Malawi</v>
      </c>
      <c r="B95" s="0" t="n">
        <f aca="false">air_poll_mean!C95</f>
        <v>47.3333333333333</v>
      </c>
      <c r="C95" s="1" t="e">
        <f aca="false">VLOOKUP(combined!A95,coal_mean_per_year!B:C,2,0)</f>
        <v>#N/A</v>
      </c>
      <c r="D95" s="1" t="n">
        <f aca="false">VLOOKUP(combined!A95,chronic_lung_death_rate!B:G,6,0)</f>
        <v>11.2301460363179</v>
      </c>
      <c r="E95" s="1" t="n">
        <f aca="false">VLOOKUP(combined!A95,cancer!B:E,4,0)</f>
        <v>77.11</v>
      </c>
      <c r="F95" s="1" t="n">
        <f aca="false">VLOOKUP(combined!A95,lung_cancer!B:E,4,0)</f>
        <v>0.81</v>
      </c>
      <c r="G95" s="1" t="n">
        <f aca="false">VLOOKUP(combined!A95,life_expect!B:C,2,0)</f>
        <v>67.35</v>
      </c>
    </row>
    <row r="96" customFormat="false" ht="12.8" hidden="false" customHeight="false" outlineLevel="0" collapsed="false">
      <c r="A96" s="0" t="str">
        <f aca="false">air_poll_mean!B96</f>
        <v>Malaysia</v>
      </c>
      <c r="B96" s="0" t="n">
        <f aca="false">air_poll_mean!C96</f>
        <v>81.616</v>
      </c>
      <c r="C96" s="1" t="n">
        <f aca="false">VLOOKUP(combined!A96,coal_mean_per_year!B:C,2,0)</f>
        <v>73.9922154172333</v>
      </c>
      <c r="D96" s="1" t="n">
        <f aca="false">VLOOKUP(combined!A96,chronic_lung_death_rate!B:G,6,0)</f>
        <v>20.7447846041834</v>
      </c>
      <c r="E96" s="1" t="n">
        <f aca="false">VLOOKUP(combined!A96,cancer!B:E,4,0)</f>
        <v>105.95</v>
      </c>
      <c r="F96" s="1" t="n">
        <f aca="false">VLOOKUP(combined!A96,lung_cancer!B:E,4,0)</f>
        <v>8.14</v>
      </c>
      <c r="G96" s="1" t="n">
        <f aca="false">VLOOKUP(combined!A96,life_expect!B:C,2,0)</f>
        <v>76.66</v>
      </c>
    </row>
    <row r="97" customFormat="false" ht="12.8" hidden="false" customHeight="false" outlineLevel="0" collapsed="false">
      <c r="A97" s="0" t="str">
        <f aca="false">air_poll_mean!B97</f>
        <v>Maldives</v>
      </c>
      <c r="B97" s="0" t="n">
        <f aca="false">air_poll_mean!C97</f>
        <v>19</v>
      </c>
      <c r="C97" s="1" t="e">
        <f aca="false">VLOOKUP(combined!A97,coal_mean_per_year!B:C,2,0)</f>
        <v>#N/A</v>
      </c>
      <c r="D97" s="1" t="n">
        <f aca="false">VLOOKUP(combined!A97,chronic_lung_death_rate!B:G,6,0)</f>
        <v>31.8893837177572</v>
      </c>
      <c r="E97" s="1" t="n">
        <f aca="false">VLOOKUP(combined!A97,cancer!B:E,4,0)</f>
        <v>77.55</v>
      </c>
      <c r="F97" s="1" t="n">
        <f aca="false">VLOOKUP(combined!A97,lung_cancer!B:E,4,0)</f>
        <v>6.89</v>
      </c>
      <c r="G97" s="1" t="n">
        <f aca="false">VLOOKUP(combined!A97,life_expect!B:C,2,0)</f>
        <v>81.04</v>
      </c>
    </row>
    <row r="98" customFormat="false" ht="12.8" hidden="false" customHeight="false" outlineLevel="0" collapsed="false">
      <c r="A98" s="0" t="str">
        <f aca="false">air_poll_mean!B98</f>
        <v>Mali</v>
      </c>
      <c r="B98" s="0" t="n">
        <f aca="false">air_poll_mean!C98</f>
        <v>83.16</v>
      </c>
      <c r="C98" s="1" t="e">
        <f aca="false">VLOOKUP(combined!A98,coal_mean_per_year!B:C,2,0)</f>
        <v>#N/A</v>
      </c>
      <c r="D98" s="1" t="n">
        <f aca="false">VLOOKUP(combined!A98,chronic_lung_death_rate!B:G,6,0)</f>
        <v>14.2454753970578</v>
      </c>
      <c r="E98" s="1" t="n">
        <f aca="false">VLOOKUP(combined!A98,cancer!B:E,4,0)</f>
        <v>61.46</v>
      </c>
      <c r="F98" s="1" t="n">
        <f aca="false">VLOOKUP(combined!A98,lung_cancer!B:E,4,0)</f>
        <v>1.77</v>
      </c>
      <c r="G98" s="1" t="n">
        <f aca="false">VLOOKUP(combined!A98,life_expect!B:C,2,0)</f>
        <v>60.44</v>
      </c>
    </row>
    <row r="99" customFormat="false" ht="12.8" hidden="false" customHeight="false" outlineLevel="0" collapsed="false">
      <c r="A99" s="0" t="str">
        <f aca="false">air_poll_mean!B99</f>
        <v>Malta</v>
      </c>
      <c r="B99" s="0" t="n">
        <f aca="false">air_poll_mean!C99</f>
        <v>51.3636363636364</v>
      </c>
      <c r="C99" s="1" t="e">
        <f aca="false">VLOOKUP(combined!A99,coal_mean_per_year!B:C,2,0)</f>
        <v>#N/A</v>
      </c>
      <c r="D99" s="1" t="n">
        <f aca="false">VLOOKUP(combined!A99,chronic_lung_death_rate!B:G,6,0)</f>
        <v>30.0584477810826</v>
      </c>
      <c r="E99" s="1" t="n">
        <f aca="false">VLOOKUP(combined!A99,cancer!B:E,4,0)</f>
        <v>227.55</v>
      </c>
      <c r="F99" s="1" t="n">
        <f aca="false">VLOOKUP(combined!A99,lung_cancer!B:E,4,0)</f>
        <v>9.96</v>
      </c>
      <c r="G99" s="1" t="n">
        <f aca="false">VLOOKUP(combined!A99,life_expect!B:C,2,0)</f>
        <v>83.3</v>
      </c>
    </row>
    <row r="100" customFormat="false" ht="12.8" hidden="false" customHeight="false" outlineLevel="0" collapsed="false">
      <c r="A100" s="0" t="str">
        <f aca="false">air_poll_mean!B100</f>
        <v>Mauritania</v>
      </c>
      <c r="B100" s="0" t="n">
        <f aca="false">air_poll_mean!C100</f>
        <v>179</v>
      </c>
      <c r="C100" s="1" t="e">
        <f aca="false">VLOOKUP(combined!A100,coal_mean_per_year!B:C,2,0)</f>
        <v>#N/A</v>
      </c>
      <c r="D100" s="1" t="n">
        <f aca="false">VLOOKUP(combined!A100,chronic_lung_death_rate!B:G,6,0)</f>
        <v>14.5179494034634</v>
      </c>
      <c r="E100" s="1" t="n">
        <f aca="false">VLOOKUP(combined!A100,cancer!B:E,4,0)</f>
        <v>56.62</v>
      </c>
      <c r="F100" s="1" t="n">
        <f aca="false">VLOOKUP(combined!A100,lung_cancer!B:E,4,0)</f>
        <v>1.05</v>
      </c>
      <c r="G100" s="1" t="n">
        <f aca="false">VLOOKUP(combined!A100,life_expect!B:C,2,0)</f>
        <v>68.48</v>
      </c>
    </row>
    <row r="101" customFormat="false" ht="12.8" hidden="false" customHeight="false" outlineLevel="0" collapsed="false">
      <c r="A101" s="0" t="str">
        <f aca="false">air_poll_mean!B101</f>
        <v>Mauritius</v>
      </c>
      <c r="B101" s="0" t="n">
        <f aca="false">air_poll_mean!C101</f>
        <v>41</v>
      </c>
      <c r="C101" s="1" t="e">
        <f aca="false">VLOOKUP(combined!A101,coal_mean_per_year!B:C,2,0)</f>
        <v>#N/A</v>
      </c>
      <c r="D101" s="1" t="n">
        <f aca="false">VLOOKUP(combined!A101,chronic_lung_death_rate!B:G,6,0)</f>
        <v>34.4787776937893</v>
      </c>
      <c r="E101" s="1" t="n">
        <f aca="false">VLOOKUP(combined!A101,cancer!B:E,4,0)</f>
        <v>102.98</v>
      </c>
      <c r="F101" s="1" t="n">
        <f aca="false">VLOOKUP(combined!A101,lung_cancer!B:E,4,0)</f>
        <v>4.44</v>
      </c>
      <c r="G101" s="1" t="n">
        <f aca="false">VLOOKUP(combined!A101,life_expect!B:C,2,0)</f>
        <v>74.93</v>
      </c>
    </row>
    <row r="102" customFormat="false" ht="12.8" hidden="false" customHeight="false" outlineLevel="0" collapsed="false">
      <c r="A102" s="0" t="str">
        <f aca="false">air_poll_mean!B102</f>
        <v>Mexico</v>
      </c>
      <c r="B102" s="0" t="n">
        <f aca="false">air_poll_mean!C102</f>
        <v>89.6166950596252</v>
      </c>
      <c r="C102" s="1" t="n">
        <f aca="false">VLOOKUP(combined!A102,coal_mean_per_year!B:C,2,0)</f>
        <v>69.5112364583333</v>
      </c>
      <c r="D102" s="1" t="n">
        <f aca="false">VLOOKUP(combined!A102,chronic_lung_death_rate!B:G,6,0)</f>
        <v>25.2397600826837</v>
      </c>
      <c r="E102" s="1" t="n">
        <f aca="false">VLOOKUP(combined!A102,cancer!B:E,4,0)</f>
        <v>97.85</v>
      </c>
      <c r="F102" s="1" t="n">
        <f aca="false">VLOOKUP(combined!A102,lung_cancer!B:E,4,0)</f>
        <v>2.81</v>
      </c>
      <c r="G102" s="1" t="n">
        <f aca="false">VLOOKUP(combined!A102,life_expect!B:C,2,0)</f>
        <v>75.07</v>
      </c>
    </row>
    <row r="103" customFormat="false" ht="12.8" hidden="false" customHeight="false" outlineLevel="0" collapsed="false">
      <c r="A103" s="0" t="str">
        <f aca="false">air_poll_mean!B103</f>
        <v>Monaco</v>
      </c>
      <c r="B103" s="0" t="n">
        <f aca="false">air_poll_mean!C103</f>
        <v>56</v>
      </c>
      <c r="C103" s="1" t="e">
        <f aca="false">VLOOKUP(combined!A103,coal_mean_per_year!B:C,2,0)</f>
        <v>#N/A</v>
      </c>
      <c r="D103" s="1" t="n">
        <f aca="false">VLOOKUP(combined!A103,chronic_lung_death_rate!B:G,6,0)</f>
        <v>68.5504309937471</v>
      </c>
      <c r="E103" s="1" t="e">
        <f aca="false">VLOOKUP(combined!A103,cancer!B:E,4,0)</f>
        <v>#N/A</v>
      </c>
      <c r="F103" s="1" t="e">
        <f aca="false">VLOOKUP(combined!A103,lung_cancer!B:E,4,0)</f>
        <v>#N/A</v>
      </c>
      <c r="G103" s="1" t="e">
        <f aca="false">VLOOKUP(combined!A103,life_expect!B:C,2,0)</f>
        <v>#N/A</v>
      </c>
    </row>
    <row r="104" customFormat="false" ht="12.8" hidden="false" customHeight="false" outlineLevel="0" collapsed="false">
      <c r="A104" s="0" t="str">
        <f aca="false">air_poll_mean!B104</f>
        <v>Mongolia</v>
      </c>
      <c r="B104" s="0" t="n">
        <f aca="false">air_poll_mean!C104</f>
        <v>53.4</v>
      </c>
      <c r="C104" s="1" t="e">
        <f aca="false">VLOOKUP(combined!A104,coal_mean_per_year!B:C,2,0)</f>
        <v>#N/A</v>
      </c>
      <c r="D104" s="1" t="n">
        <f aca="false">VLOOKUP(combined!A104,chronic_lung_death_rate!B:G,6,0)</f>
        <v>12.4934240982336</v>
      </c>
      <c r="E104" s="1" t="n">
        <f aca="false">VLOOKUP(combined!A104,cancer!B:E,4,0)</f>
        <v>138.28</v>
      </c>
      <c r="F104" s="1" t="n">
        <f aca="false">VLOOKUP(combined!A104,lung_cancer!B:E,4,0)</f>
        <v>9.86</v>
      </c>
      <c r="G104" s="1" t="n">
        <f aca="false">VLOOKUP(combined!A104,life_expect!B:C,2,0)</f>
        <v>71.73</v>
      </c>
    </row>
    <row r="105" customFormat="false" ht="12.8" hidden="false" customHeight="false" outlineLevel="0" collapsed="false">
      <c r="A105" s="0" t="str">
        <f aca="false">air_poll_mean!B105</f>
        <v>Montenegro</v>
      </c>
      <c r="B105" s="0" t="n">
        <f aca="false">air_poll_mean!C105</f>
        <v>64.75</v>
      </c>
      <c r="C105" s="1" t="e">
        <f aca="false">VLOOKUP(combined!A105,coal_mean_per_year!B:C,2,0)</f>
        <v>#N/A</v>
      </c>
      <c r="D105" s="1" t="n">
        <f aca="false">VLOOKUP(combined!A105,chronic_lung_death_rate!B:G,6,0)</f>
        <v>20.7543262230293</v>
      </c>
      <c r="E105" s="1" t="n">
        <f aca="false">VLOOKUP(combined!A105,cancer!B:E,4,0)</f>
        <v>169.33</v>
      </c>
      <c r="F105" s="1" t="n">
        <f aca="false">VLOOKUP(combined!A105,lung_cancer!B:E,4,0)</f>
        <v>19.94</v>
      </c>
      <c r="G105" s="1" t="n">
        <f aca="false">VLOOKUP(combined!A105,life_expect!B:C,2,0)</f>
        <v>77.09</v>
      </c>
    </row>
    <row r="106" customFormat="false" ht="12.8" hidden="false" customHeight="false" outlineLevel="0" collapsed="false">
      <c r="A106" s="0" t="str">
        <f aca="false">air_poll_mean!B106</f>
        <v>Morocco</v>
      </c>
      <c r="B106" s="0" t="n">
        <f aca="false">air_poll_mean!C106</f>
        <v>45.3684210526316</v>
      </c>
      <c r="C106" s="1" t="n">
        <f aca="false">VLOOKUP(combined!A106,coal_mean_per_year!B:C,2,0)</f>
        <v>26.7388154016667</v>
      </c>
      <c r="D106" s="1" t="n">
        <f aca="false">VLOOKUP(combined!A106,chronic_lung_death_rate!B:G,6,0)</f>
        <v>19.8896007146868</v>
      </c>
      <c r="E106" s="1" t="n">
        <f aca="false">VLOOKUP(combined!A106,cancer!B:E,4,0)</f>
        <v>94.87</v>
      </c>
      <c r="F106" s="1" t="n">
        <f aca="false">VLOOKUP(combined!A106,lung_cancer!B:E,4,0)</f>
        <v>10.76</v>
      </c>
      <c r="G106" s="1" t="n">
        <f aca="false">VLOOKUP(combined!A106,life_expect!B:C,2,0)</f>
        <v>75.31</v>
      </c>
    </row>
    <row r="107" customFormat="false" ht="12.8" hidden="false" customHeight="false" outlineLevel="0" collapsed="false">
      <c r="A107" s="0" t="str">
        <f aca="false">air_poll_mean!B107</f>
        <v>Mozambique</v>
      </c>
      <c r="B107" s="0" t="n">
        <f aca="false">air_poll_mean!C107</f>
        <v>36.8260869565217</v>
      </c>
      <c r="C107" s="1" t="e">
        <f aca="false">VLOOKUP(combined!A107,coal_mean_per_year!B:C,2,0)</f>
        <v>#N/A</v>
      </c>
      <c r="D107" s="1" t="n">
        <f aca="false">VLOOKUP(combined!A107,chronic_lung_death_rate!B:G,6,0)</f>
        <v>9.78407722044121</v>
      </c>
      <c r="E107" s="1" t="n">
        <f aca="false">VLOOKUP(combined!A107,cancer!B:E,4,0)</f>
        <v>58.28</v>
      </c>
      <c r="F107" s="1" t="n">
        <f aca="false">VLOOKUP(combined!A107,lung_cancer!B:E,4,0)</f>
        <v>0.74</v>
      </c>
      <c r="G107" s="1" t="n">
        <f aca="false">VLOOKUP(combined!A107,life_expect!B:C,2,0)</f>
        <v>63.61</v>
      </c>
    </row>
    <row r="108" customFormat="false" ht="12.8" hidden="false" customHeight="false" outlineLevel="0" collapsed="false">
      <c r="A108" s="0" t="str">
        <f aca="false">air_poll_mean!B108</f>
        <v>Myanmar</v>
      </c>
      <c r="B108" s="0" t="n">
        <f aca="false">air_poll_mean!C108</f>
        <v>40.1694915254237</v>
      </c>
      <c r="C108" s="1" t="e">
        <f aca="false">VLOOKUP(combined!A108,coal_mean_per_year!B:C,2,0)</f>
        <v>#N/A</v>
      </c>
      <c r="D108" s="1" t="n">
        <f aca="false">VLOOKUP(combined!A108,chronic_lung_death_rate!B:G,6,0)</f>
        <v>91.9378049816789</v>
      </c>
      <c r="E108" s="1" t="n">
        <f aca="false">VLOOKUP(combined!A108,cancer!B:E,4,0)</f>
        <v>73.38</v>
      </c>
      <c r="F108" s="1" t="n">
        <f aca="false">VLOOKUP(combined!A108,lung_cancer!B:E,4,0)</f>
        <v>8.53</v>
      </c>
      <c r="G108" s="1" t="n">
        <f aca="false">VLOOKUP(combined!A108,life_expect!B:C,2,0)</f>
        <v>66.89</v>
      </c>
    </row>
    <row r="109" customFormat="false" ht="12.8" hidden="false" customHeight="false" outlineLevel="0" collapsed="false">
      <c r="A109" s="0" t="str">
        <f aca="false">air_poll_mean!B109</f>
        <v>Namibia</v>
      </c>
      <c r="B109" s="0" t="n">
        <f aca="false">air_poll_mean!C109</f>
        <v>76.8823529411765</v>
      </c>
      <c r="C109" s="1" t="e">
        <f aca="false">VLOOKUP(combined!A109,coal_mean_per_year!B:C,2,0)</f>
        <v>#N/A</v>
      </c>
      <c r="D109" s="1" t="n">
        <f aca="false">VLOOKUP(combined!A109,chronic_lung_death_rate!B:G,6,0)</f>
        <v>29.1769727309138</v>
      </c>
      <c r="E109" s="1" t="n">
        <f aca="false">VLOOKUP(combined!A109,cancer!B:E,4,0)</f>
        <v>111.17</v>
      </c>
      <c r="F109" s="1" t="n">
        <f aca="false">VLOOKUP(combined!A109,lung_cancer!B:E,4,0)</f>
        <v>3.02</v>
      </c>
      <c r="G109" s="1" t="n">
        <f aca="false">VLOOKUP(combined!A109,life_expect!B:C,2,0)</f>
        <v>67.39</v>
      </c>
    </row>
    <row r="110" customFormat="false" ht="12.8" hidden="false" customHeight="false" outlineLevel="0" collapsed="false">
      <c r="A110" s="0" t="str">
        <f aca="false">air_poll_mean!B110</f>
        <v>Nepal</v>
      </c>
      <c r="B110" s="0" t="n">
        <f aca="false">air_poll_mean!C110</f>
        <v>116.363636363636</v>
      </c>
      <c r="C110" s="1" t="e">
        <f aca="false">VLOOKUP(combined!A110,coal_mean_per_year!B:C,2,0)</f>
        <v>#N/A</v>
      </c>
      <c r="D110" s="1" t="n">
        <f aca="false">VLOOKUP(combined!A110,chronic_lung_death_rate!B:G,6,0)</f>
        <v>92.5414459774688</v>
      </c>
      <c r="E110" s="1" t="n">
        <f aca="false">VLOOKUP(combined!A110,cancer!B:E,4,0)</f>
        <v>44.85</v>
      </c>
      <c r="F110" s="1" t="n">
        <f aca="false">VLOOKUP(combined!A110,lung_cancer!B:E,4,0)</f>
        <v>4.83</v>
      </c>
      <c r="G110" s="1" t="n">
        <f aca="false">VLOOKUP(combined!A110,life_expect!B:C,2,0)</f>
        <v>70.35</v>
      </c>
    </row>
    <row r="111" customFormat="false" ht="12.8" hidden="false" customHeight="false" outlineLevel="0" collapsed="false">
      <c r="A111" s="0" t="str">
        <f aca="false">air_poll_mean!B111</f>
        <v>Netherlands</v>
      </c>
      <c r="B111" s="0" t="n">
        <f aca="false">air_poll_mean!C111</f>
        <v>38.1375838926175</v>
      </c>
      <c r="C111" s="1" t="n">
        <f aca="false">VLOOKUP(combined!A111,coal_mean_per_year!B:C,2,0)</f>
        <v>78.6023148333333</v>
      </c>
      <c r="D111" s="1" t="n">
        <f aca="false">VLOOKUP(combined!A111,chronic_lung_death_rate!B:G,6,0)</f>
        <v>62.642304301217</v>
      </c>
      <c r="E111" s="1" t="e">
        <f aca="false">VLOOKUP(combined!A111,cancer!B:E,4,0)</f>
        <v>#N/A</v>
      </c>
      <c r="F111" s="1" t="e">
        <f aca="false">VLOOKUP(combined!A111,lung_cancer!B:E,4,0)</f>
        <v>#N/A</v>
      </c>
      <c r="G111" s="1" t="n">
        <f aca="false">VLOOKUP(combined!A111,life_expect!B:C,2,0)</f>
        <v>82.16</v>
      </c>
    </row>
    <row r="112" customFormat="false" ht="12.8" hidden="false" customHeight="false" outlineLevel="0" collapsed="false">
      <c r="A112" s="0" t="str">
        <f aca="false">air_poll_mean!B112</f>
        <v>New Zealand</v>
      </c>
      <c r="B112" s="0" t="n">
        <f aca="false">air_poll_mean!C112</f>
        <v>30.7272727272727</v>
      </c>
      <c r="C112" s="1" t="n">
        <f aca="false">VLOOKUP(combined!A112,coal_mean_per_year!B:C,2,0)</f>
        <v>16.05730585</v>
      </c>
      <c r="D112" s="1" t="n">
        <f aca="false">VLOOKUP(combined!A112,chronic_lung_death_rate!B:G,6,0)</f>
        <v>50.5188998422441</v>
      </c>
      <c r="E112" s="1" t="n">
        <f aca="false">VLOOKUP(combined!A112,cancer!B:E,4,0)</f>
        <v>255.56</v>
      </c>
      <c r="F112" s="1" t="n">
        <f aca="false">VLOOKUP(combined!A112,lung_cancer!B:E,4,0)</f>
        <v>13.2</v>
      </c>
      <c r="G112" s="1" t="n">
        <f aca="false">VLOOKUP(combined!A112,life_expect!B:C,2,0)</f>
        <v>82.09</v>
      </c>
    </row>
    <row r="113" customFormat="false" ht="12.8" hidden="false" customHeight="false" outlineLevel="0" collapsed="false">
      <c r="A113" s="0" t="str">
        <f aca="false">air_poll_mean!B113</f>
        <v>Nicaragua</v>
      </c>
      <c r="B113" s="0" t="n">
        <f aca="false">air_poll_mean!C113</f>
        <v>47.972972972973</v>
      </c>
      <c r="C113" s="1" t="e">
        <f aca="false">VLOOKUP(combined!A113,coal_mean_per_year!B:C,2,0)</f>
        <v>#N/A</v>
      </c>
      <c r="D113" s="1" t="n">
        <f aca="false">VLOOKUP(combined!A113,chronic_lung_death_rate!B:G,6,0)</f>
        <v>21.0956559735467</v>
      </c>
      <c r="E113" s="1" t="n">
        <f aca="false">VLOOKUP(combined!A113,cancer!B:E,4,0)</f>
        <v>79.48</v>
      </c>
      <c r="F113" s="1" t="n">
        <f aca="false">VLOOKUP(combined!A113,lung_cancer!B:E,4,0)</f>
        <v>2.88</v>
      </c>
      <c r="G113" s="1" t="n">
        <f aca="false">VLOOKUP(combined!A113,life_expect!B:C,2,0)</f>
        <v>74.95</v>
      </c>
    </row>
    <row r="114" customFormat="false" ht="12.8" hidden="false" customHeight="false" outlineLevel="0" collapsed="false">
      <c r="A114" s="0" t="str">
        <f aca="false">air_poll_mean!B114</f>
        <v>Niger</v>
      </c>
      <c r="B114" s="0" t="n">
        <f aca="false">air_poll_mean!C114</f>
        <v>75.6896551724138</v>
      </c>
      <c r="C114" s="1" t="e">
        <f aca="false">VLOOKUP(combined!A114,coal_mean_per_year!B:C,2,0)</f>
        <v>#N/A</v>
      </c>
      <c r="D114" s="1" t="n">
        <f aca="false">VLOOKUP(combined!A114,chronic_lung_death_rate!B:G,6,0)</f>
        <v>14.6872010333738</v>
      </c>
      <c r="E114" s="1" t="n">
        <f aca="false">VLOOKUP(combined!A114,cancer!B:E,4,0)</f>
        <v>33.52</v>
      </c>
      <c r="F114" s="1" t="n">
        <f aca="false">VLOOKUP(combined!A114,lung_cancer!B:E,4,0)</f>
        <v>0.5</v>
      </c>
      <c r="G114" s="1" t="n">
        <f aca="false">VLOOKUP(combined!A114,life_expect!B:C,2,0)</f>
        <v>61.18</v>
      </c>
    </row>
    <row r="115" customFormat="false" ht="12.8" hidden="false" customHeight="false" outlineLevel="0" collapsed="false">
      <c r="A115" s="0" t="str">
        <f aca="false">air_poll_mean!B115</f>
        <v>Nigeria</v>
      </c>
      <c r="B115" s="0" t="n">
        <f aca="false">air_poll_mean!C115</f>
        <v>99.6111111111111</v>
      </c>
      <c r="C115" s="1" t="e">
        <f aca="false">VLOOKUP(combined!A115,coal_mean_per_year!B:C,2,0)</f>
        <v>#N/A</v>
      </c>
      <c r="D115" s="1" t="n">
        <f aca="false">VLOOKUP(combined!A115,chronic_lung_death_rate!B:G,6,0)</f>
        <v>11.7068032658001</v>
      </c>
      <c r="E115" s="1" t="n">
        <f aca="false">VLOOKUP(combined!A115,cancer!B:E,4,0)</f>
        <v>57.3</v>
      </c>
      <c r="F115" s="1" t="n">
        <f aca="false">VLOOKUP(combined!A115,lung_cancer!B:E,4,0)</f>
        <v>0.92</v>
      </c>
      <c r="G115" s="1" t="n">
        <f aca="false">VLOOKUP(combined!A115,life_expect!B:C,2,0)</f>
        <v>54.46</v>
      </c>
    </row>
    <row r="116" customFormat="false" ht="12.8" hidden="false" customHeight="false" outlineLevel="0" collapsed="false">
      <c r="A116" s="0" t="str">
        <f aca="false">air_poll_mean!B116</f>
        <v>Norway</v>
      </c>
      <c r="B116" s="0" t="n">
        <f aca="false">air_poll_mean!C116</f>
        <v>35.4761904761905</v>
      </c>
      <c r="C116" s="1" t="n">
        <f aca="false">VLOOKUP(combined!A116,coal_mean_per_year!B:C,2,0)</f>
        <v>9.91581670333333</v>
      </c>
      <c r="D116" s="1" t="n">
        <f aca="false">VLOOKUP(combined!A116,chronic_lung_death_rate!B:G,6,0)</f>
        <v>64.1913182800479</v>
      </c>
      <c r="E116" s="1" t="n">
        <f aca="false">VLOOKUP(combined!A116,cancer!B:E,4,0)</f>
        <v>303.88</v>
      </c>
      <c r="F116" s="1" t="n">
        <f aca="false">VLOOKUP(combined!A116,lung_cancer!B:E,4,0)</f>
        <v>14.73</v>
      </c>
      <c r="G116" s="1" t="n">
        <f aca="false">VLOOKUP(combined!A116,life_expect!B:C,2,0)</f>
        <v>83.31</v>
      </c>
    </row>
    <row r="117" customFormat="false" ht="12.8" hidden="false" customHeight="false" outlineLevel="0" collapsed="false">
      <c r="A117" s="0" t="str">
        <f aca="false">air_poll_mean!B117</f>
        <v>Oman</v>
      </c>
      <c r="B117" s="0" t="n">
        <f aca="false">air_poll_mean!C117</f>
        <v>137.5</v>
      </c>
      <c r="C117" s="1" t="n">
        <f aca="false">VLOOKUP(combined!A117,coal_mean_per_year!B:C,2,0)</f>
        <v>0.195342327745567</v>
      </c>
      <c r="D117" s="1" t="n">
        <f aca="false">VLOOKUP(combined!A117,chronic_lung_death_rate!B:G,6,0)</f>
        <v>6.99044023632057</v>
      </c>
      <c r="E117" s="1" t="n">
        <f aca="false">VLOOKUP(combined!A117,cancer!B:E,4,0)</f>
        <v>76.94</v>
      </c>
      <c r="F117" s="1" t="n">
        <f aca="false">VLOOKUP(combined!A117,lung_cancer!B:E,4,0)</f>
        <v>2.81</v>
      </c>
      <c r="G117" s="1" t="n">
        <f aca="false">VLOOKUP(combined!A117,life_expect!B:C,2,0)</f>
        <v>80.03</v>
      </c>
    </row>
    <row r="118" customFormat="false" ht="12.8" hidden="false" customHeight="false" outlineLevel="0" collapsed="false">
      <c r="A118" s="0" t="str">
        <f aca="false">air_poll_mean!B118</f>
        <v>Pakistan</v>
      </c>
      <c r="B118" s="0" t="n">
        <f aca="false">air_poll_mean!C118</f>
        <v>178.788273615635</v>
      </c>
      <c r="C118" s="1" t="n">
        <f aca="false">VLOOKUP(combined!A118,coal_mean_per_year!B:C,2,0)</f>
        <v>41.572172755</v>
      </c>
      <c r="D118" s="1" t="n">
        <f aca="false">VLOOKUP(combined!A118,chronic_lung_death_rate!B:G,6,0)</f>
        <v>44.880832101795</v>
      </c>
      <c r="E118" s="1" t="n">
        <f aca="false">VLOOKUP(combined!A118,cancer!B:E,4,0)</f>
        <v>54.98</v>
      </c>
      <c r="F118" s="1" t="n">
        <f aca="false">VLOOKUP(combined!A118,lung_cancer!B:E,4,0)</f>
        <v>3.08</v>
      </c>
      <c r="G118" s="1" t="n">
        <f aca="false">VLOOKUP(combined!A118,life_expect!B:C,2,0)</f>
        <v>67.65</v>
      </c>
    </row>
    <row r="119" customFormat="false" ht="12.8" hidden="false" customHeight="false" outlineLevel="0" collapsed="false">
      <c r="A119" s="0" t="str">
        <f aca="false">air_poll_mean!B119</f>
        <v>Palau</v>
      </c>
      <c r="B119" s="0" t="n">
        <f aca="false">air_poll_mean!C119</f>
        <v>16</v>
      </c>
      <c r="C119" s="1" t="e">
        <f aca="false">VLOOKUP(combined!A119,coal_mean_per_year!B:C,2,0)</f>
        <v>#N/A</v>
      </c>
      <c r="D119" s="1" t="n">
        <f aca="false">VLOOKUP(combined!A119,chronic_lung_death_rate!B:G,6,0)</f>
        <v>85.4494803015057</v>
      </c>
      <c r="E119" s="1" t="e">
        <f aca="false">VLOOKUP(combined!A119,cancer!B:E,4,0)</f>
        <v>#N/A</v>
      </c>
      <c r="F119" s="1" t="e">
        <f aca="false">VLOOKUP(combined!A119,lung_cancer!B:E,4,0)</f>
        <v>#N/A</v>
      </c>
      <c r="G119" s="1" t="e">
        <f aca="false">VLOOKUP(combined!A119,life_expect!B:C,2,0)</f>
        <v>#N/A</v>
      </c>
    </row>
    <row r="120" customFormat="false" ht="12.8" hidden="false" customHeight="false" outlineLevel="0" collapsed="false">
      <c r="A120" s="0" t="str">
        <f aca="false">air_poll_mean!B120</f>
        <v>Panama</v>
      </c>
      <c r="B120" s="0" t="n">
        <f aca="false">air_poll_mean!C120</f>
        <v>68.4444444444444</v>
      </c>
      <c r="C120" s="1" t="e">
        <f aca="false">VLOOKUP(combined!A120,coal_mean_per_year!B:C,2,0)</f>
        <v>#N/A</v>
      </c>
      <c r="D120" s="1" t="n">
        <f aca="false">VLOOKUP(combined!A120,chronic_lung_death_rate!B:G,6,0)</f>
        <v>21.1915734363201</v>
      </c>
      <c r="E120" s="1" t="n">
        <f aca="false">VLOOKUP(combined!A120,cancer!B:E,4,0)</f>
        <v>113.74</v>
      </c>
      <c r="F120" s="1" t="n">
        <f aca="false">VLOOKUP(combined!A120,lung_cancer!B:E,4,0)</f>
        <v>3.27</v>
      </c>
      <c r="G120" s="1" t="n">
        <f aca="false">VLOOKUP(combined!A120,life_expect!B:C,2,0)</f>
        <v>79.59</v>
      </c>
    </row>
    <row r="121" customFormat="false" ht="12.8" hidden="false" customHeight="false" outlineLevel="0" collapsed="false">
      <c r="A121" s="0" t="str">
        <f aca="false">air_poll_mean!B121</f>
        <v>Papua New Guinea</v>
      </c>
      <c r="B121" s="0" t="n">
        <f aca="false">air_poll_mean!C121</f>
        <v>24.8666666666667</v>
      </c>
      <c r="C121" s="1" t="e">
        <f aca="false">VLOOKUP(combined!A121,coal_mean_per_year!B:C,2,0)</f>
        <v>#N/A</v>
      </c>
      <c r="D121" s="1" t="n">
        <f aca="false">VLOOKUP(combined!A121,chronic_lung_death_rate!B:G,6,0)</f>
        <v>45.1821079662614</v>
      </c>
      <c r="E121" s="1" t="n">
        <f aca="false">VLOOKUP(combined!A121,cancer!B:E,4,0)</f>
        <v>93.98</v>
      </c>
      <c r="F121" s="1" t="n">
        <f aca="false">VLOOKUP(combined!A121,lung_cancer!B:E,4,0)</f>
        <v>5.69</v>
      </c>
      <c r="G121" s="1" t="n">
        <f aca="false">VLOOKUP(combined!A121,life_expect!B:C,2,0)</f>
        <v>66.13</v>
      </c>
    </row>
    <row r="122" customFormat="false" ht="12.8" hidden="false" customHeight="false" outlineLevel="0" collapsed="false">
      <c r="A122" s="0" t="str">
        <f aca="false">air_poll_mean!B122</f>
        <v>Paraguay</v>
      </c>
      <c r="B122" s="0" t="n">
        <f aca="false">air_poll_mean!C122</f>
        <v>42.7692307692308</v>
      </c>
      <c r="C122" s="1" t="e">
        <f aca="false">VLOOKUP(combined!A122,coal_mean_per_year!B:C,2,0)</f>
        <v>#N/A</v>
      </c>
      <c r="D122" s="1" t="n">
        <f aca="false">VLOOKUP(combined!A122,chronic_lung_death_rate!B:G,6,0)</f>
        <v>26.9695406596884</v>
      </c>
      <c r="E122" s="1" t="n">
        <f aca="false">VLOOKUP(combined!A122,cancer!B:E,4,0)</f>
        <v>125.58</v>
      </c>
      <c r="F122" s="1" t="n">
        <f aca="false">VLOOKUP(combined!A122,lung_cancer!B:E,4,0)</f>
        <v>6.53</v>
      </c>
      <c r="G122" s="1" t="n">
        <f aca="false">VLOOKUP(combined!A122,life_expect!B:C,2,0)</f>
        <v>73.84</v>
      </c>
    </row>
    <row r="123" customFormat="false" ht="12.8" hidden="false" customHeight="false" outlineLevel="0" collapsed="false">
      <c r="A123" s="0" t="str">
        <f aca="false">air_poll_mean!B123</f>
        <v>Peru</v>
      </c>
      <c r="B123" s="0" t="n">
        <f aca="false">air_poll_mean!C123</f>
        <v>36.4296875</v>
      </c>
      <c r="C123" s="1" t="n">
        <f aca="false">VLOOKUP(combined!A123,coal_mean_per_year!B:C,2,0)</f>
        <v>5.04165668933333</v>
      </c>
      <c r="D123" s="1" t="n">
        <f aca="false">VLOOKUP(combined!A123,chronic_lung_death_rate!B:G,6,0)</f>
        <v>35.8646781700852</v>
      </c>
      <c r="E123" s="1" t="n">
        <f aca="false">VLOOKUP(combined!A123,cancer!B:E,4,0)</f>
        <v>115.94</v>
      </c>
      <c r="F123" s="1" t="n">
        <f aca="false">VLOOKUP(combined!A123,lung_cancer!B:E,4,0)</f>
        <v>3.61</v>
      </c>
      <c r="G123" s="1" t="n">
        <f aca="false">VLOOKUP(combined!A123,life_expect!B:C,2,0)</f>
        <v>77.74</v>
      </c>
    </row>
    <row r="124" customFormat="false" ht="12.8" hidden="false" customHeight="false" outlineLevel="0" collapsed="false">
      <c r="A124" s="0" t="str">
        <f aca="false">air_poll_mean!B124</f>
        <v>Philippines</v>
      </c>
      <c r="B124" s="0" t="n">
        <f aca="false">air_poll_mean!C124</f>
        <v>61.1958456973294</v>
      </c>
      <c r="C124" s="1" t="n">
        <f aca="false">VLOOKUP(combined!A124,coal_mean_per_year!B:C,2,0)</f>
        <v>57.3543519093333</v>
      </c>
      <c r="D124" s="1" t="n">
        <f aca="false">VLOOKUP(combined!A124,chronic_lung_death_rate!B:G,6,0)</f>
        <v>28.1069375480458</v>
      </c>
      <c r="E124" s="1" t="n">
        <f aca="false">VLOOKUP(combined!A124,cancer!B:E,4,0)</f>
        <v>119.12</v>
      </c>
      <c r="F124" s="1" t="n">
        <f aca="false">VLOOKUP(combined!A124,lung_cancer!B:E,4,0)</f>
        <v>12.75</v>
      </c>
      <c r="G124" s="1" t="n">
        <f aca="false">VLOOKUP(combined!A124,life_expect!B:C,2,0)</f>
        <v>69.83</v>
      </c>
    </row>
    <row r="125" customFormat="false" ht="12.8" hidden="false" customHeight="false" outlineLevel="0" collapsed="false">
      <c r="A125" s="0" t="str">
        <f aca="false">air_poll_mean!B125</f>
        <v>Poland</v>
      </c>
      <c r="B125" s="0" t="n">
        <f aca="false">air_poll_mean!C125</f>
        <v>52.4601542416452</v>
      </c>
      <c r="C125" s="1" t="n">
        <f aca="false">VLOOKUP(combined!A125,coal_mean_per_year!B:C,2,0)</f>
        <v>792.690165</v>
      </c>
      <c r="D125" s="1" t="n">
        <f aca="false">VLOOKUP(combined!A125,chronic_lung_death_rate!B:G,6,0)</f>
        <v>24.2531196514354</v>
      </c>
      <c r="E125" s="1" t="n">
        <f aca="false">VLOOKUP(combined!A125,cancer!B:E,4,0)</f>
        <v>203.51</v>
      </c>
      <c r="F125" s="1" t="n">
        <f aca="false">VLOOKUP(combined!A125,lung_cancer!B:E,4,0)</f>
        <v>19.47</v>
      </c>
      <c r="G125" s="1" t="n">
        <f aca="false">VLOOKUP(combined!A125,life_expect!B:C,2,0)</f>
        <v>78.63</v>
      </c>
    </row>
    <row r="126" customFormat="false" ht="12.8" hidden="false" customHeight="false" outlineLevel="0" collapsed="false">
      <c r="A126" s="0" t="str">
        <f aca="false">air_poll_mean!B126</f>
        <v>Portugal</v>
      </c>
      <c r="B126" s="0" t="n">
        <f aca="false">air_poll_mean!C126</f>
        <v>34.6078431372549</v>
      </c>
      <c r="C126" s="1" t="n">
        <f aca="false">VLOOKUP(combined!A126,coal_mean_per_year!B:C,2,0)</f>
        <v>21.4339011367167</v>
      </c>
      <c r="D126" s="1" t="n">
        <f aca="false">VLOOKUP(combined!A126,chronic_lung_death_rate!B:G,6,0)</f>
        <v>68.3444448721301</v>
      </c>
      <c r="E126" s="1" t="n">
        <f aca="false">VLOOKUP(combined!A126,cancer!B:E,4,0)</f>
        <v>227.57</v>
      </c>
      <c r="F126" s="1" t="n">
        <f aca="false">VLOOKUP(combined!A126,lung_cancer!B:E,4,0)</f>
        <v>12.77</v>
      </c>
      <c r="G126" s="1" t="n">
        <f aca="false">VLOOKUP(combined!A126,life_expect!B:C,2,0)</f>
        <v>82.36</v>
      </c>
    </row>
    <row r="127" customFormat="false" ht="12.8" hidden="false" customHeight="false" outlineLevel="0" collapsed="false">
      <c r="A127" s="0" t="str">
        <f aca="false">air_poll_mean!B127</f>
        <v>Qatar</v>
      </c>
      <c r="B127" s="0" t="n">
        <f aca="false">air_poll_mean!C127</f>
        <v>157.5</v>
      </c>
      <c r="C127" s="1" t="n">
        <f aca="false">VLOOKUP(combined!A127,coal_mean_per_year!B:C,2,0)</f>
        <v>0.0483002510666667</v>
      </c>
      <c r="D127" s="1" t="n">
        <f aca="false">VLOOKUP(combined!A127,chronic_lung_death_rate!B:G,6,0)</f>
        <v>2.1839451711964</v>
      </c>
      <c r="E127" s="1" t="n">
        <f aca="false">VLOOKUP(combined!A127,cancer!B:E,4,0)</f>
        <v>65.04</v>
      </c>
      <c r="F127" s="1" t="n">
        <f aca="false">VLOOKUP(combined!A127,lung_cancer!B:E,4,0)</f>
        <v>2.77</v>
      </c>
      <c r="G127" s="1" t="n">
        <f aca="false">VLOOKUP(combined!A127,life_expect!B:C,2,0)</f>
        <v>82.37</v>
      </c>
    </row>
    <row r="128" customFormat="false" ht="12.8" hidden="false" customHeight="false" outlineLevel="0" collapsed="false">
      <c r="A128" s="0" t="str">
        <f aca="false">air_poll_mean!B128</f>
        <v>Republic of Korea</v>
      </c>
      <c r="B128" s="0" t="n">
        <f aca="false">air_poll_mean!C128</f>
        <v>421</v>
      </c>
      <c r="C128" s="1" t="e">
        <f aca="false">VLOOKUP(combined!A128,coal_mean_per_year!B:C,2,0)</f>
        <v>#N/A</v>
      </c>
      <c r="D128" s="1" t="n">
        <f aca="false">VLOOKUP(combined!A128,chronic_lung_death_rate!B:G,6,0)</f>
        <v>34.9766177232736</v>
      </c>
      <c r="E128" s="1" t="e">
        <f aca="false">VLOOKUP(combined!A128,cancer!B:E,4,0)</f>
        <v>#N/A</v>
      </c>
      <c r="F128" s="1" t="e">
        <f aca="false">VLOOKUP(combined!A128,lung_cancer!B:E,4,0)</f>
        <v>#N/A</v>
      </c>
      <c r="G128" s="1" t="e">
        <f aca="false">VLOOKUP(combined!A128,life_expect!B:C,2,0)</f>
        <v>#N/A</v>
      </c>
    </row>
    <row r="129" customFormat="false" ht="12.8" hidden="false" customHeight="false" outlineLevel="0" collapsed="false">
      <c r="A129" s="0" t="str">
        <f aca="false">air_poll_mean!B129</f>
        <v>Republic of Moldova</v>
      </c>
      <c r="B129" s="0" t="n">
        <f aca="false">air_poll_mean!C129</f>
        <v>52.9642857142857</v>
      </c>
      <c r="C129" s="1" t="e">
        <f aca="false">VLOOKUP(combined!A129,coal_mean_per_year!B:C,2,0)</f>
        <v>#N/A</v>
      </c>
      <c r="D129" s="1" t="n">
        <f aca="false">VLOOKUP(combined!A129,chronic_lung_death_rate!B:G,6,0)</f>
        <v>19.998756416636</v>
      </c>
      <c r="E129" s="1" t="n">
        <f aca="false">VLOOKUP(combined!A129,cancer!B:E,4,0)</f>
        <v>146.88</v>
      </c>
      <c r="F129" s="1" t="n">
        <f aca="false">VLOOKUP(combined!A129,lung_cancer!B:E,4,0)</f>
        <v>12.05</v>
      </c>
      <c r="G129" s="1" t="e">
        <f aca="false">VLOOKUP(combined!A129,life_expect!B:C,2,0)</f>
        <v>#N/A</v>
      </c>
    </row>
    <row r="130" customFormat="false" ht="12.8" hidden="false" customHeight="false" outlineLevel="0" collapsed="false">
      <c r="A130" s="0" t="str">
        <f aca="false">air_poll_mean!B130</f>
        <v>Republic of North Macedonia</v>
      </c>
      <c r="B130" s="0" t="n">
        <f aca="false">air_poll_mean!C130</f>
        <v>66.7826086956522</v>
      </c>
      <c r="C130" s="1" t="e">
        <f aca="false">VLOOKUP(combined!A130,coal_mean_per_year!B:C,2,0)</f>
        <v>#N/A</v>
      </c>
      <c r="D130" s="1" t="e">
        <f aca="false">VLOOKUP(combined!A130,chronic_lung_death_rate!B:G,6,0)</f>
        <v>#N/A</v>
      </c>
      <c r="E130" s="1" t="e">
        <f aca="false">VLOOKUP(combined!A130,cancer!B:E,4,0)</f>
        <v>#N/A</v>
      </c>
      <c r="F130" s="1" t="e">
        <f aca="false">VLOOKUP(combined!A130,lung_cancer!B:E,4,0)</f>
        <v>#N/A</v>
      </c>
      <c r="G130" s="1" t="e">
        <f aca="false">VLOOKUP(combined!A130,life_expect!B:C,2,0)</f>
        <v>#N/A</v>
      </c>
    </row>
    <row r="131" customFormat="false" ht="12.8" hidden="false" customHeight="false" outlineLevel="0" collapsed="false">
      <c r="A131" s="0" t="str">
        <f aca="false">air_poll_mean!B131</f>
        <v>Romania</v>
      </c>
      <c r="B131" s="0" t="n">
        <f aca="false">air_poll_mean!C131</f>
        <v>53.9336492890995</v>
      </c>
      <c r="C131" s="1" t="n">
        <f aca="false">VLOOKUP(combined!A131,coal_mean_per_year!B:C,2,0)</f>
        <v>103.04107065</v>
      </c>
      <c r="D131" s="1" t="n">
        <f aca="false">VLOOKUP(combined!A131,chronic_lung_death_rate!B:G,6,0)</f>
        <v>34.1348675234345</v>
      </c>
      <c r="E131" s="1" t="n">
        <f aca="false">VLOOKUP(combined!A131,cancer!B:E,4,0)</f>
        <v>202.59</v>
      </c>
      <c r="F131" s="1" t="n">
        <f aca="false">VLOOKUP(combined!A131,lung_cancer!B:E,4,0)</f>
        <v>16.42</v>
      </c>
      <c r="G131" s="1" t="n">
        <f aca="false">VLOOKUP(combined!A131,life_expect!B:C,2,0)</f>
        <v>75.94</v>
      </c>
    </row>
    <row r="132" customFormat="false" ht="12.8" hidden="false" customHeight="false" outlineLevel="0" collapsed="false">
      <c r="A132" s="0" t="str">
        <f aca="false">air_poll_mean!B132</f>
        <v>Russian Federation</v>
      </c>
      <c r="B132" s="0" t="n">
        <f aca="false">air_poll_mean!C132</f>
        <v>42.5068493150685</v>
      </c>
      <c r="C132" s="1" t="e">
        <f aca="false">VLOOKUP(combined!A132,coal_mean_per_year!B:C,2,0)</f>
        <v>#N/A</v>
      </c>
      <c r="D132" s="1" t="n">
        <f aca="false">VLOOKUP(combined!A132,chronic_lung_death_rate!B:G,6,0)</f>
        <v>24.1268935083535</v>
      </c>
      <c r="E132" s="1" t="n">
        <f aca="false">VLOOKUP(combined!A132,cancer!B:E,4,0)</f>
        <v>182.01</v>
      </c>
      <c r="F132" s="1" t="n">
        <f aca="false">VLOOKUP(combined!A132,lung_cancer!B:E,4,0)</f>
        <v>13.98</v>
      </c>
      <c r="G132" s="1" t="e">
        <f aca="false">VLOOKUP(combined!A132,life_expect!B:C,2,0)</f>
        <v>#N/A</v>
      </c>
    </row>
    <row r="133" customFormat="false" ht="12.8" hidden="false" customHeight="false" outlineLevel="0" collapsed="false">
      <c r="A133" s="0" t="str">
        <f aca="false">air_poll_mean!B133</f>
        <v>Rwanda</v>
      </c>
      <c r="B133" s="0" t="n">
        <f aca="false">air_poll_mean!C133</f>
        <v>93.5384615384615</v>
      </c>
      <c r="C133" s="1" t="e">
        <f aca="false">VLOOKUP(combined!A133,coal_mean_per_year!B:C,2,0)</f>
        <v>#N/A</v>
      </c>
      <c r="D133" s="1" t="n">
        <f aca="false">VLOOKUP(combined!A133,chronic_lung_death_rate!B:G,6,0)</f>
        <v>16.9701584623511</v>
      </c>
      <c r="E133" s="1" t="n">
        <f aca="false">VLOOKUP(combined!A133,cancer!B:E,4,0)</f>
        <v>43.58</v>
      </c>
      <c r="F133" s="1" t="n">
        <f aca="false">VLOOKUP(combined!A133,lung_cancer!B:E,4,0)</f>
        <v>1.57</v>
      </c>
      <c r="G133" s="1" t="n">
        <f aca="false">VLOOKUP(combined!A133,life_expect!B:C,2,0)</f>
        <v>67.78</v>
      </c>
    </row>
    <row r="134" customFormat="false" ht="12.8" hidden="false" customHeight="false" outlineLevel="0" collapsed="false">
      <c r="A134" s="0" t="str">
        <f aca="false">air_poll_mean!B134</f>
        <v>Saint Kitts and Nevis</v>
      </c>
      <c r="B134" s="0" t="n">
        <f aca="false">air_poll_mean!C134</f>
        <v>90</v>
      </c>
      <c r="C134" s="1" t="e">
        <f aca="false">VLOOKUP(combined!A134,coal_mean_per_year!B:C,2,0)</f>
        <v>#N/A</v>
      </c>
      <c r="D134" s="1" t="n">
        <f aca="false">VLOOKUP(combined!A134,chronic_lung_death_rate!B:G,6,0)</f>
        <v>16.9637328002922</v>
      </c>
      <c r="E134" s="1" t="e">
        <f aca="false">VLOOKUP(combined!A134,cancer!B:E,4,0)</f>
        <v>#N/A</v>
      </c>
      <c r="F134" s="1" t="e">
        <f aca="false">VLOOKUP(combined!A134,lung_cancer!B:E,4,0)</f>
        <v>#N/A</v>
      </c>
      <c r="G134" s="1" t="e">
        <f aca="false">VLOOKUP(combined!A134,life_expect!B:C,2,0)</f>
        <v>#N/A</v>
      </c>
    </row>
    <row r="135" customFormat="false" ht="12.8" hidden="false" customHeight="false" outlineLevel="0" collapsed="false">
      <c r="A135" s="0" t="str">
        <f aca="false">air_poll_mean!B135</f>
        <v>Saint Lucia</v>
      </c>
      <c r="B135" s="0" t="n">
        <f aca="false">air_poll_mean!C135</f>
        <v>79</v>
      </c>
      <c r="C135" s="1" t="e">
        <f aca="false">VLOOKUP(combined!A135,coal_mean_per_year!B:C,2,0)</f>
        <v>#N/A</v>
      </c>
      <c r="D135" s="1" t="n">
        <f aca="false">VLOOKUP(combined!A135,chronic_lung_death_rate!B:G,6,0)</f>
        <v>29.3708411235535</v>
      </c>
      <c r="E135" s="1" t="n">
        <f aca="false">VLOOKUP(combined!A135,cancer!B:E,4,0)</f>
        <v>124.8</v>
      </c>
      <c r="F135" s="1" t="n">
        <f aca="false">VLOOKUP(combined!A135,lung_cancer!B:E,4,0)</f>
        <v>5.38</v>
      </c>
      <c r="G135" s="1" t="n">
        <f aca="false">VLOOKUP(combined!A135,life_expect!B:C,2,0)</f>
        <v>72.7</v>
      </c>
    </row>
    <row r="136" customFormat="false" ht="12.8" hidden="false" customHeight="false" outlineLevel="0" collapsed="false">
      <c r="A136" s="0" t="str">
        <f aca="false">air_poll_mean!B136</f>
        <v>Saudi Arabia</v>
      </c>
      <c r="B136" s="0" t="n">
        <f aca="false">air_poll_mean!C136</f>
        <v>149.285714285714</v>
      </c>
      <c r="C136" s="1" t="n">
        <f aca="false">VLOOKUP(combined!A136,coal_mean_per_year!B:C,2,0)</f>
        <v>0.339018099833333</v>
      </c>
      <c r="D136" s="1" t="n">
        <f aca="false">VLOOKUP(combined!A136,chronic_lung_death_rate!B:G,6,0)</f>
        <v>7.95532974129336</v>
      </c>
      <c r="E136" s="1" t="n">
        <f aca="false">VLOOKUP(combined!A136,cancer!B:E,4,0)</f>
        <v>66.85</v>
      </c>
      <c r="F136" s="1" t="n">
        <f aca="false">VLOOKUP(combined!A136,lung_cancer!B:E,4,0)</f>
        <v>2.31</v>
      </c>
      <c r="G136" s="1" t="n">
        <f aca="false">VLOOKUP(combined!A136,life_expect!B:C,2,0)</f>
        <v>78.73</v>
      </c>
    </row>
    <row r="137" customFormat="false" ht="12.8" hidden="false" customHeight="false" outlineLevel="0" collapsed="false">
      <c r="A137" s="0" t="str">
        <f aca="false">air_poll_mean!B137</f>
        <v>Senegal</v>
      </c>
      <c r="B137" s="0" t="n">
        <f aca="false">air_poll_mean!C137</f>
        <v>152.424242424242</v>
      </c>
      <c r="C137" s="1" t="e">
        <f aca="false">VLOOKUP(combined!A137,coal_mean_per_year!B:C,2,0)</f>
        <v>#N/A</v>
      </c>
      <c r="D137" s="1" t="n">
        <f aca="false">VLOOKUP(combined!A137,chronic_lung_death_rate!B:G,6,0)</f>
        <v>15.8803025949197</v>
      </c>
      <c r="E137" s="1" t="n">
        <f aca="false">VLOOKUP(combined!A137,cancer!B:E,4,0)</f>
        <v>56.76</v>
      </c>
      <c r="F137" s="1" t="n">
        <f aca="false">VLOOKUP(combined!A137,lung_cancer!B:E,4,0)</f>
        <v>1.54</v>
      </c>
      <c r="G137" s="1" t="n">
        <f aca="false">VLOOKUP(combined!A137,life_expect!B:C,2,0)</f>
        <v>68.68</v>
      </c>
    </row>
    <row r="138" customFormat="false" ht="12.8" hidden="false" customHeight="false" outlineLevel="0" collapsed="false">
      <c r="A138" s="0" t="str">
        <f aca="false">air_poll_mean!B138</f>
        <v>Serbia</v>
      </c>
      <c r="B138" s="0" t="n">
        <f aca="false">air_poll_mean!C138</f>
        <v>67.9887640449438</v>
      </c>
      <c r="C138" s="1" t="e">
        <f aca="false">VLOOKUP(combined!A138,coal_mean_per_year!B:C,2,0)</f>
        <v>#N/A</v>
      </c>
      <c r="D138" s="1" t="n">
        <f aca="false">VLOOKUP(combined!A138,chronic_lung_death_rate!B:G,6,0)</f>
        <v>40.9043994931433</v>
      </c>
      <c r="E138" s="1" t="n">
        <f aca="false">VLOOKUP(combined!A138,cancer!B:E,4,0)</f>
        <v>177.64</v>
      </c>
      <c r="F138" s="1" t="n">
        <f aca="false">VLOOKUP(combined!A138,lung_cancer!B:E,4,0)</f>
        <v>22.02</v>
      </c>
      <c r="G138" s="1" t="n">
        <f aca="false">VLOOKUP(combined!A138,life_expect!B:C,2,0)</f>
        <v>76.77</v>
      </c>
    </row>
    <row r="139" customFormat="false" ht="12.8" hidden="false" customHeight="false" outlineLevel="0" collapsed="false">
      <c r="A139" s="0" t="str">
        <f aca="false">air_poll_mean!B139</f>
        <v>Seychelles</v>
      </c>
      <c r="B139" s="0" t="n">
        <f aca="false">air_poll_mean!C139</f>
        <v>26</v>
      </c>
      <c r="C139" s="1" t="e">
        <f aca="false">VLOOKUP(combined!A139,coal_mean_per_year!B:C,2,0)</f>
        <v>#N/A</v>
      </c>
      <c r="D139" s="1" t="n">
        <f aca="false">VLOOKUP(combined!A139,chronic_lung_death_rate!B:G,6,0)</f>
        <v>39.4187025005134</v>
      </c>
      <c r="E139" s="1" t="e">
        <f aca="false">VLOOKUP(combined!A139,cancer!B:E,4,0)</f>
        <v>#N/A</v>
      </c>
      <c r="F139" s="1" t="e">
        <f aca="false">VLOOKUP(combined!A139,lung_cancer!B:E,4,0)</f>
        <v>#N/A</v>
      </c>
      <c r="G139" s="1" t="n">
        <f aca="false">VLOOKUP(combined!A139,life_expect!B:C,2,0)</f>
        <v>72.86</v>
      </c>
    </row>
    <row r="140" customFormat="false" ht="12.8" hidden="false" customHeight="false" outlineLevel="0" collapsed="false">
      <c r="A140" s="0" t="str">
        <f aca="false">air_poll_mean!B140</f>
        <v>Sierra Leone</v>
      </c>
      <c r="B140" s="0" t="n">
        <f aca="false">air_poll_mean!C140</f>
        <v>44.2</v>
      </c>
      <c r="C140" s="1" t="e">
        <f aca="false">VLOOKUP(combined!A140,coal_mean_per_year!B:C,2,0)</f>
        <v>#N/A</v>
      </c>
      <c r="D140" s="1" t="n">
        <f aca="false">VLOOKUP(combined!A140,chronic_lung_death_rate!B:G,6,0)</f>
        <v>16.6596929218212</v>
      </c>
      <c r="E140" s="1" t="n">
        <f aca="false">VLOOKUP(combined!A140,cancer!B:E,4,0)</f>
        <v>43.39</v>
      </c>
      <c r="F140" s="1" t="n">
        <f aca="false">VLOOKUP(combined!A140,lung_cancer!B:E,4,0)</f>
        <v>1.06</v>
      </c>
      <c r="G140" s="1" t="n">
        <f aca="false">VLOOKUP(combined!A140,life_expect!B:C,2,0)</f>
        <v>61.79</v>
      </c>
    </row>
    <row r="141" customFormat="false" ht="12.8" hidden="false" customHeight="false" outlineLevel="0" collapsed="false">
      <c r="A141" s="0" t="str">
        <f aca="false">air_poll_mean!B141</f>
        <v>Singapore</v>
      </c>
      <c r="B141" s="0" t="n">
        <f aca="false">air_poll_mean!C141</f>
        <v>91</v>
      </c>
      <c r="C141" s="1" t="n">
        <f aca="false">VLOOKUP(combined!A141,coal_mean_per_year!B:C,2,0)</f>
        <v>1.08498881938333</v>
      </c>
      <c r="D141" s="1" t="n">
        <f aca="false">VLOOKUP(combined!A141,chronic_lung_death_rate!B:G,6,0)</f>
        <v>12.7399223338266</v>
      </c>
      <c r="E141" s="1" t="n">
        <f aca="false">VLOOKUP(combined!A141,cancer!B:E,4,0)</f>
        <v>188.11</v>
      </c>
      <c r="F141" s="1" t="n">
        <f aca="false">VLOOKUP(combined!A141,lung_cancer!B:E,4,0)</f>
        <v>12.52</v>
      </c>
      <c r="G141" s="1" t="n">
        <f aca="false">VLOOKUP(combined!A141,life_expect!B:C,2,0)</f>
        <v>83.74</v>
      </c>
    </row>
    <row r="142" customFormat="false" ht="12.8" hidden="false" customHeight="false" outlineLevel="0" collapsed="false">
      <c r="A142" s="0" t="str">
        <f aca="false">air_poll_mean!B142</f>
        <v>Slovakia</v>
      </c>
      <c r="B142" s="0" t="n">
        <f aca="false">air_poll_mean!C142</f>
        <v>67.5322580645161</v>
      </c>
      <c r="C142" s="1" t="n">
        <f aca="false">VLOOKUP(combined!A142,coal_mean_per_year!B:C,2,0)</f>
        <v>63.3694092</v>
      </c>
      <c r="D142" s="1" t="n">
        <f aca="false">VLOOKUP(combined!A142,chronic_lung_death_rate!B:G,6,0)</f>
        <v>21.1332912765198</v>
      </c>
      <c r="E142" s="1" t="n">
        <f aca="false">VLOOKUP(combined!A142,cancer!B:E,4,0)</f>
        <v>215.71</v>
      </c>
      <c r="F142" s="1" t="n">
        <f aca="false">VLOOKUP(combined!A142,lung_cancer!B:E,4,0)</f>
        <v>11.88</v>
      </c>
      <c r="G142" s="1" t="n">
        <f aca="false">VLOOKUP(combined!A142,life_expect!B:C,2,0)</f>
        <v>78.34</v>
      </c>
    </row>
    <row r="143" customFormat="false" ht="12.8" hidden="false" customHeight="false" outlineLevel="0" collapsed="false">
      <c r="A143" s="0" t="str">
        <f aca="false">air_poll_mean!B143</f>
        <v>Slovenia</v>
      </c>
      <c r="B143" s="0" t="n">
        <f aca="false">air_poll_mean!C143</f>
        <v>70.875</v>
      </c>
      <c r="C143" s="1" t="n">
        <f aca="false">VLOOKUP(combined!A143,coal_mean_per_year!B:C,2,0)</f>
        <v>15.0890441142857</v>
      </c>
      <c r="D143" s="1" t="n">
        <f aca="false">VLOOKUP(combined!A143,chronic_lung_death_rate!B:G,6,0)</f>
        <v>31.7770348556291</v>
      </c>
      <c r="E143" s="1" t="n">
        <f aca="false">VLOOKUP(combined!A143,cancer!B:E,4,0)</f>
        <v>247.28</v>
      </c>
      <c r="F143" s="1" t="n">
        <f aca="false">VLOOKUP(combined!A143,lung_cancer!B:E,4,0)</f>
        <v>18.31</v>
      </c>
      <c r="G143" s="1" t="n">
        <f aca="false">VLOOKUP(combined!A143,life_expect!B:C,2,0)</f>
        <v>81.6</v>
      </c>
    </row>
    <row r="144" customFormat="false" ht="12.8" hidden="false" customHeight="false" outlineLevel="0" collapsed="false">
      <c r="A144" s="0" t="str">
        <f aca="false">air_poll_mean!B144</f>
        <v>Solomon Islands</v>
      </c>
      <c r="B144" s="0" t="n">
        <f aca="false">air_poll_mean!C144</f>
        <v>18</v>
      </c>
      <c r="C144" s="1" t="e">
        <f aca="false">VLOOKUP(combined!A144,coal_mean_per_year!B:C,2,0)</f>
        <v>#N/A</v>
      </c>
      <c r="D144" s="1" t="n">
        <f aca="false">VLOOKUP(combined!A144,chronic_lung_death_rate!B:G,6,0)</f>
        <v>42.3960355246346</v>
      </c>
      <c r="E144" s="1" t="n">
        <f aca="false">VLOOKUP(combined!A144,cancer!B:E,4,0)</f>
        <v>83.63</v>
      </c>
      <c r="F144" s="1" t="n">
        <f aca="false">VLOOKUP(combined!A144,lung_cancer!B:E,4,0)</f>
        <v>4.25</v>
      </c>
      <c r="G144" s="1" t="n">
        <f aca="false">VLOOKUP(combined!A144,life_expect!B:C,2,0)</f>
        <v>70.53</v>
      </c>
    </row>
    <row r="145" customFormat="false" ht="12.8" hidden="false" customHeight="false" outlineLevel="0" collapsed="false">
      <c r="A145" s="0" t="str">
        <f aca="false">air_poll_mean!B145</f>
        <v>Somalia</v>
      </c>
      <c r="B145" s="0" t="n">
        <f aca="false">air_poll_mean!C145</f>
        <v>72.0555555555556</v>
      </c>
      <c r="C145" s="1" t="e">
        <f aca="false">VLOOKUP(combined!A145,coal_mean_per_year!B:C,2,0)</f>
        <v>#N/A</v>
      </c>
      <c r="D145" s="1" t="n">
        <f aca="false">VLOOKUP(combined!A145,chronic_lung_death_rate!B:G,6,0)</f>
        <v>10.217745833962</v>
      </c>
      <c r="E145" s="1" t="n">
        <f aca="false">VLOOKUP(combined!A145,cancer!B:E,4,0)</f>
        <v>37.79</v>
      </c>
      <c r="F145" s="1" t="n">
        <f aca="false">VLOOKUP(combined!A145,lung_cancer!B:E,4,0)</f>
        <v>1.88</v>
      </c>
      <c r="G145" s="1" t="n">
        <f aca="false">VLOOKUP(combined!A145,life_expect!B:C,2,0)</f>
        <v>58.82</v>
      </c>
    </row>
    <row r="146" customFormat="false" ht="12.8" hidden="false" customHeight="false" outlineLevel="0" collapsed="false">
      <c r="A146" s="0" t="str">
        <f aca="false">air_poll_mean!B146</f>
        <v>South Africa</v>
      </c>
      <c r="B146" s="0" t="n">
        <f aca="false">air_poll_mean!C146</f>
        <v>113.040229885057</v>
      </c>
      <c r="C146" s="1" t="n">
        <f aca="false">VLOOKUP(combined!A146,coal_mean_per_year!B:C,2,0)</f>
        <v>752.134641666667</v>
      </c>
      <c r="D146" s="1" t="n">
        <f aca="false">VLOOKUP(combined!A146,chronic_lung_death_rate!B:G,6,0)</f>
        <v>33.283955427712</v>
      </c>
      <c r="E146" s="1" t="n">
        <f aca="false">VLOOKUP(combined!A146,cancer!B:E,4,0)</f>
        <v>119.08</v>
      </c>
      <c r="F146" s="1" t="n">
        <f aca="false">VLOOKUP(combined!A146,lung_cancer!B:E,4,0)</f>
        <v>9.58</v>
      </c>
      <c r="G146" s="1" t="n">
        <f aca="false">VLOOKUP(combined!A146,life_expect!B:C,2,0)</f>
        <v>66.14</v>
      </c>
    </row>
    <row r="147" customFormat="false" ht="12.8" hidden="false" customHeight="false" outlineLevel="0" collapsed="false">
      <c r="A147" s="0" t="str">
        <f aca="false">air_poll_mean!B147</f>
        <v>South Sudan</v>
      </c>
      <c r="B147" s="0" t="n">
        <f aca="false">air_poll_mean!C147</f>
        <v>60.3333333333333</v>
      </c>
      <c r="C147" s="1" t="e">
        <f aca="false">VLOOKUP(combined!A147,coal_mean_per_year!B:C,2,0)</f>
        <v>#N/A</v>
      </c>
      <c r="D147" s="1" t="n">
        <f aca="false">VLOOKUP(combined!A147,chronic_lung_death_rate!B:G,6,0)</f>
        <v>12.5547617187003</v>
      </c>
      <c r="E147" s="1" t="n">
        <f aca="false">VLOOKUP(combined!A147,cancer!B:E,4,0)</f>
        <v>42.12</v>
      </c>
      <c r="F147" s="1" t="n">
        <f aca="false">VLOOKUP(combined!A147,lung_cancer!B:E,4,0)</f>
        <v>1.12</v>
      </c>
      <c r="G147" s="1" t="n">
        <f aca="false">VLOOKUP(combined!A147,life_expect!B:C,2,0)</f>
        <v>57.62</v>
      </c>
    </row>
    <row r="148" customFormat="false" ht="12.8" hidden="false" customHeight="false" outlineLevel="0" collapsed="false">
      <c r="A148" s="0" t="str">
        <f aca="false">air_poll_mean!B148</f>
        <v>Spain</v>
      </c>
      <c r="B148" s="0" t="n">
        <f aca="false">air_poll_mean!C148</f>
        <v>38.4564705882353</v>
      </c>
      <c r="C148" s="1" t="n">
        <f aca="false">VLOOKUP(combined!A148,coal_mean_per_year!B:C,2,0)</f>
        <v>158.406864383333</v>
      </c>
      <c r="D148" s="1" t="n">
        <f aca="false">VLOOKUP(combined!A148,chronic_lung_death_rate!B:G,6,0)</f>
        <v>61.8235771771647</v>
      </c>
      <c r="E148" s="1" t="n">
        <f aca="false">VLOOKUP(combined!A148,cancer!B:E,4,0)</f>
        <v>220.29</v>
      </c>
      <c r="F148" s="1" t="n">
        <f aca="false">VLOOKUP(combined!A148,lung_cancer!B:E,4,0)</f>
        <v>14.84</v>
      </c>
      <c r="G148" s="1" t="n">
        <f aca="false">VLOOKUP(combined!A148,life_expect!B:C,2,0)</f>
        <v>83.67</v>
      </c>
    </row>
    <row r="149" customFormat="false" ht="12.8" hidden="false" customHeight="false" outlineLevel="0" collapsed="false">
      <c r="A149" s="0" t="str">
        <f aca="false">air_poll_mean!B149</f>
        <v>Sri Lanka</v>
      </c>
      <c r="B149" s="0" t="n">
        <f aca="false">air_poll_mean!C149</f>
        <v>63.5217391304348</v>
      </c>
      <c r="C149" s="1" t="n">
        <f aca="false">VLOOKUP(combined!A149,coal_mean_per_year!B:C,2,0)</f>
        <v>3.3616930413</v>
      </c>
      <c r="D149" s="1" t="n">
        <f aca="false">VLOOKUP(combined!A149,chronic_lung_death_rate!B:G,6,0)</f>
        <v>75.8992654053648</v>
      </c>
      <c r="E149" s="1" t="n">
        <f aca="false">VLOOKUP(combined!A149,cancer!B:E,4,0)</f>
        <v>74.09</v>
      </c>
      <c r="F149" s="1" t="n">
        <f aca="false">VLOOKUP(combined!A149,lung_cancer!B:E,4,0)</f>
        <v>3.51</v>
      </c>
      <c r="G149" s="1" t="n">
        <f aca="false">VLOOKUP(combined!A149,life_expect!B:C,2,0)</f>
        <v>77.48</v>
      </c>
    </row>
    <row r="150" customFormat="false" ht="12.8" hidden="false" customHeight="false" outlineLevel="0" collapsed="false">
      <c r="A150" s="0" t="str">
        <f aca="false">air_poll_mean!B150</f>
        <v>State of Palestine</v>
      </c>
      <c r="B150" s="0" t="n">
        <f aca="false">air_poll_mean!C150</f>
        <v>86</v>
      </c>
      <c r="C150" s="1" t="e">
        <f aca="false">VLOOKUP(combined!A150,coal_mean_per_year!B:C,2,0)</f>
        <v>#N/A</v>
      </c>
      <c r="D150" s="1" t="e">
        <f aca="false">VLOOKUP(combined!A150,chronic_lung_death_rate!B:G,6,0)</f>
        <v>#N/A</v>
      </c>
      <c r="E150" s="1" t="e">
        <f aca="false">VLOOKUP(combined!A150,cancer!B:E,4,0)</f>
        <v>#N/A</v>
      </c>
      <c r="F150" s="1" t="e">
        <f aca="false">VLOOKUP(combined!A150,lung_cancer!B:E,4,0)</f>
        <v>#N/A</v>
      </c>
      <c r="G150" s="1" t="e">
        <f aca="false">VLOOKUP(combined!A150,life_expect!B:C,2,0)</f>
        <v>#N/A</v>
      </c>
    </row>
    <row r="151" customFormat="false" ht="12.8" hidden="false" customHeight="false" outlineLevel="0" collapsed="false">
      <c r="A151" s="0" t="str">
        <f aca="false">air_poll_mean!B151</f>
        <v>Sudan</v>
      </c>
      <c r="B151" s="0" t="n">
        <f aca="false">air_poll_mean!C151</f>
        <v>78.8571428571429</v>
      </c>
      <c r="C151" s="1" t="e">
        <f aca="false">VLOOKUP(combined!A151,coal_mean_per_year!B:C,2,0)</f>
        <v>#N/A</v>
      </c>
      <c r="D151" s="1" t="n">
        <f aca="false">VLOOKUP(combined!A151,chronic_lung_death_rate!B:G,6,0)</f>
        <v>17.5064388732932</v>
      </c>
      <c r="E151" s="1" t="n">
        <f aca="false">VLOOKUP(combined!A151,cancer!B:E,4,0)</f>
        <v>46.18</v>
      </c>
      <c r="F151" s="1" t="n">
        <f aca="false">VLOOKUP(combined!A151,lung_cancer!B:E,4,0)</f>
        <v>1.33</v>
      </c>
      <c r="G151" s="1" t="n">
        <f aca="false">VLOOKUP(combined!A151,life_expect!B:C,2,0)</f>
        <v>66.33</v>
      </c>
    </row>
    <row r="152" customFormat="false" ht="12.8" hidden="false" customHeight="false" outlineLevel="0" collapsed="false">
      <c r="A152" s="0" t="str">
        <f aca="false">air_poll_mean!B152</f>
        <v>Suriname</v>
      </c>
      <c r="B152" s="0" t="n">
        <f aca="false">air_poll_mean!C152</f>
        <v>43.3333333333333</v>
      </c>
      <c r="C152" s="1" t="e">
        <f aca="false">VLOOKUP(combined!A152,coal_mean_per_year!B:C,2,0)</f>
        <v>#N/A</v>
      </c>
      <c r="D152" s="1" t="n">
        <f aca="false">VLOOKUP(combined!A152,chronic_lung_death_rate!B:G,6,0)</f>
        <v>26.0331925348481</v>
      </c>
      <c r="E152" s="1" t="n">
        <f aca="false">VLOOKUP(combined!A152,cancer!B:E,4,0)</f>
        <v>118.51</v>
      </c>
      <c r="F152" s="1" t="n">
        <f aca="false">VLOOKUP(combined!A152,lung_cancer!B:E,4,0)</f>
        <v>8.8</v>
      </c>
      <c r="G152" s="1" t="n">
        <f aca="false">VLOOKUP(combined!A152,life_expect!B:C,2,0)</f>
        <v>73.63</v>
      </c>
    </row>
    <row r="153" customFormat="false" ht="12.8" hidden="false" customHeight="false" outlineLevel="0" collapsed="false">
      <c r="A153" s="0" t="str">
        <f aca="false">air_poll_mean!B153</f>
        <v>Sweden</v>
      </c>
      <c r="B153" s="0" t="n">
        <f aca="false">air_poll_mean!C153</f>
        <v>36.1649484536083</v>
      </c>
      <c r="C153" s="1" t="n">
        <f aca="false">VLOOKUP(combined!A153,coal_mean_per_year!B:C,2,0)</f>
        <v>26.3458852666667</v>
      </c>
      <c r="D153" s="1" t="n">
        <f aca="false">VLOOKUP(combined!A153,chronic_lung_death_rate!B:G,6,0)</f>
        <v>44.7558231177013</v>
      </c>
      <c r="E153" s="1" t="n">
        <f aca="false">VLOOKUP(combined!A153,cancer!B:E,4,0)</f>
        <v>257.41</v>
      </c>
      <c r="F153" s="1" t="n">
        <f aca="false">VLOOKUP(combined!A153,lung_cancer!B:E,4,0)</f>
        <v>9.35</v>
      </c>
      <c r="G153" s="1" t="n">
        <f aca="false">VLOOKUP(combined!A153,life_expect!B:C,2,0)</f>
        <v>83.26</v>
      </c>
    </row>
    <row r="154" customFormat="false" ht="12.8" hidden="false" customHeight="false" outlineLevel="0" collapsed="false">
      <c r="A154" s="0" t="str">
        <f aca="false">air_poll_mean!B154</f>
        <v>Switzerland</v>
      </c>
      <c r="B154" s="0" t="n">
        <f aca="false">air_poll_mean!C154</f>
        <v>55.2155172413793</v>
      </c>
      <c r="C154" s="1" t="n">
        <f aca="false">VLOOKUP(combined!A154,coal_mean_per_year!B:C,2,0)</f>
        <v>3.34707582666667</v>
      </c>
      <c r="D154" s="1" t="n">
        <f aca="false">VLOOKUP(combined!A154,chronic_lung_death_rate!B:G,6,0)</f>
        <v>32.3261786054954</v>
      </c>
      <c r="E154" s="1" t="n">
        <f aca="false">VLOOKUP(combined!A154,cancer!B:E,4,0)</f>
        <v>222.76</v>
      </c>
      <c r="F154" s="1" t="n">
        <f aca="false">VLOOKUP(combined!A154,lung_cancer!B:E,4,0)</f>
        <v>12.81</v>
      </c>
      <c r="G154" s="1" t="n">
        <f aca="false">VLOOKUP(combined!A154,life_expect!B:C,2,0)</f>
        <v>83.95</v>
      </c>
    </row>
    <row r="155" customFormat="false" ht="12.8" hidden="false" customHeight="false" outlineLevel="0" collapsed="false">
      <c r="A155" s="0" t="str">
        <f aca="false">air_poll_mean!B155</f>
        <v>Syrian Arab Republic</v>
      </c>
      <c r="B155" s="0" t="n">
        <f aca="false">air_poll_mean!C155</f>
        <v>86.9333333333333</v>
      </c>
      <c r="C155" s="1" t="e">
        <f aca="false">VLOOKUP(combined!A155,coal_mean_per_year!B:C,2,0)</f>
        <v>#N/A</v>
      </c>
      <c r="D155" s="1" t="n">
        <f aca="false">VLOOKUP(combined!A155,chronic_lung_death_rate!B:G,6,0)</f>
        <v>23.3845964670863</v>
      </c>
      <c r="E155" s="1" t="n">
        <f aca="false">VLOOKUP(combined!A155,cancer!B:E,4,0)</f>
        <v>73.09</v>
      </c>
      <c r="F155" s="1" t="n">
        <f aca="false">VLOOKUP(combined!A155,lung_cancer!B:E,4,0)</f>
        <v>9.44</v>
      </c>
      <c r="G155" s="1" t="e">
        <f aca="false">VLOOKUP(combined!A155,life_expect!B:C,2,0)</f>
        <v>#N/A</v>
      </c>
    </row>
    <row r="156" customFormat="false" ht="12.8" hidden="false" customHeight="false" outlineLevel="0" collapsed="false">
      <c r="A156" s="0" t="str">
        <f aca="false">air_poll_mean!B156</f>
        <v>Tajikistan</v>
      </c>
      <c r="B156" s="0" t="n">
        <f aca="false">air_poll_mean!C156</f>
        <v>115.206896551724</v>
      </c>
      <c r="C156" s="1" t="e">
        <f aca="false">VLOOKUP(combined!A156,coal_mean_per_year!B:C,2,0)</f>
        <v>#N/A</v>
      </c>
      <c r="D156" s="1" t="n">
        <f aca="false">VLOOKUP(combined!A156,chronic_lung_death_rate!B:G,6,0)</f>
        <v>17.2780408758278</v>
      </c>
      <c r="E156" s="1" t="n">
        <f aca="false">VLOOKUP(combined!A156,cancer!B:E,4,0)</f>
        <v>54.51</v>
      </c>
      <c r="F156" s="1" t="n">
        <f aca="false">VLOOKUP(combined!A156,lung_cancer!B:E,4,0)</f>
        <v>2.92</v>
      </c>
      <c r="G156" s="1" t="n">
        <f aca="false">VLOOKUP(combined!A156,life_expect!B:C,2,0)</f>
        <v>71.79</v>
      </c>
    </row>
    <row r="157" customFormat="false" ht="12.8" hidden="false" customHeight="false" outlineLevel="0" collapsed="false">
      <c r="A157" s="0" t="str">
        <f aca="false">air_poll_mean!B157</f>
        <v>Thailand</v>
      </c>
      <c r="B157" s="0" t="n">
        <f aca="false">air_poll_mean!C157</f>
        <v>53.5813008130081</v>
      </c>
      <c r="C157" s="1" t="n">
        <f aca="false">VLOOKUP(combined!A157,coal_mean_per_year!B:C,2,0)</f>
        <v>87.0601012721667</v>
      </c>
      <c r="D157" s="1" t="n">
        <f aca="false">VLOOKUP(combined!A157,chronic_lung_death_rate!B:G,6,0)</f>
        <v>39.7060709432878</v>
      </c>
      <c r="E157" s="1" t="n">
        <f aca="false">VLOOKUP(combined!A157,cancer!B:E,4,0)</f>
        <v>104</v>
      </c>
      <c r="F157" s="1" t="n">
        <f aca="false">VLOOKUP(combined!A157,lung_cancer!B:E,4,0)</f>
        <v>9.72</v>
      </c>
      <c r="G157" s="1" t="n">
        <f aca="false">VLOOKUP(combined!A157,life_expect!B:C,2,0)</f>
        <v>76.41</v>
      </c>
    </row>
    <row r="158" customFormat="false" ht="12.8" hidden="false" customHeight="false" outlineLevel="0" collapsed="false">
      <c r="A158" s="0" t="str">
        <f aca="false">air_poll_mean!B158</f>
        <v>Togo</v>
      </c>
      <c r="B158" s="0" t="n">
        <f aca="false">air_poll_mean!C158</f>
        <v>65.1578947368421</v>
      </c>
      <c r="C158" s="1" t="e">
        <f aca="false">VLOOKUP(combined!A158,coal_mean_per_year!B:C,2,0)</f>
        <v>#N/A</v>
      </c>
      <c r="D158" s="1" t="n">
        <f aca="false">VLOOKUP(combined!A158,chronic_lung_death_rate!B:G,6,0)</f>
        <v>14.5456647286752</v>
      </c>
      <c r="E158" s="1" t="n">
        <f aca="false">VLOOKUP(combined!A158,cancer!B:E,4,0)</f>
        <v>52.36</v>
      </c>
      <c r="F158" s="1" t="n">
        <f aca="false">VLOOKUP(combined!A158,lung_cancer!B:E,4,0)</f>
        <v>1.01</v>
      </c>
      <c r="G158" s="1" t="n">
        <f aca="false">VLOOKUP(combined!A158,life_expect!B:C,2,0)</f>
        <v>62.74</v>
      </c>
    </row>
    <row r="159" customFormat="false" ht="12.8" hidden="false" customHeight="false" outlineLevel="0" collapsed="false">
      <c r="A159" s="0" t="str">
        <f aca="false">air_poll_mean!B159</f>
        <v>Trinidad and Tobago</v>
      </c>
      <c r="B159" s="0" t="n">
        <f aca="false">air_poll_mean!C159</f>
        <v>94.5</v>
      </c>
      <c r="C159" s="1" t="n">
        <f aca="false">VLOOKUP(combined!A159,coal_mean_per_year!B:C,2,0)</f>
        <v>0</v>
      </c>
      <c r="D159" s="1" t="n">
        <f aca="false">VLOOKUP(combined!A159,chronic_lung_death_rate!B:G,6,0)</f>
        <v>24.6956963314853</v>
      </c>
      <c r="E159" s="1" t="n">
        <f aca="false">VLOOKUP(combined!A159,cancer!B:E,4,0)</f>
        <v>138.79</v>
      </c>
      <c r="F159" s="1" t="n">
        <f aca="false">VLOOKUP(combined!A159,lung_cancer!B:E,4,0)</f>
        <v>6.2</v>
      </c>
      <c r="G159" s="1" t="n">
        <f aca="false">VLOOKUP(combined!A159,life_expect!B:C,2,0)</f>
        <v>73.49</v>
      </c>
    </row>
    <row r="160" customFormat="false" ht="12.8" hidden="false" customHeight="false" outlineLevel="0" collapsed="false">
      <c r="A160" s="0" t="str">
        <f aca="false">air_poll_mean!B160</f>
        <v>Tunisia</v>
      </c>
      <c r="B160" s="0" t="n">
        <f aca="false">air_poll_mean!C160</f>
        <v>70.9090909090909</v>
      </c>
      <c r="C160" s="1" t="e">
        <f aca="false">VLOOKUP(combined!A160,coal_mean_per_year!B:C,2,0)</f>
        <v>#N/A</v>
      </c>
      <c r="D160" s="1" t="n">
        <f aca="false">VLOOKUP(combined!A160,chronic_lung_death_rate!B:G,6,0)</f>
        <v>30.8482502151714</v>
      </c>
      <c r="E160" s="1" t="n">
        <f aca="false">VLOOKUP(combined!A160,cancer!B:E,4,0)</f>
        <v>88.37</v>
      </c>
      <c r="F160" s="1" t="n">
        <f aca="false">VLOOKUP(combined!A160,lung_cancer!B:E,4,0)</f>
        <v>10.76</v>
      </c>
      <c r="G160" s="1" t="n">
        <f aca="false">VLOOKUP(combined!A160,life_expect!B:C,2,0)</f>
        <v>76.51</v>
      </c>
    </row>
    <row r="161" customFormat="false" ht="12.8" hidden="false" customHeight="false" outlineLevel="0" collapsed="false">
      <c r="A161" s="0" t="str">
        <f aca="false">air_poll_mean!B161</f>
        <v>Turkey</v>
      </c>
      <c r="B161" s="0" t="n">
        <f aca="false">air_poll_mean!C161</f>
        <v>51.6680497925311</v>
      </c>
      <c r="C161" s="1" t="n">
        <f aca="false">VLOOKUP(combined!A161,coal_mean_per_year!B:C,2,0)</f>
        <v>228.318746733333</v>
      </c>
      <c r="D161" s="1" t="n">
        <f aca="false">VLOOKUP(combined!A161,chronic_lung_death_rate!B:G,6,0)</f>
        <v>48.622135811787</v>
      </c>
      <c r="E161" s="1" t="e">
        <f aca="false">VLOOKUP(combined!A161,cancer!B:E,4,0)</f>
        <v>#N/A</v>
      </c>
      <c r="F161" s="1" t="e">
        <f aca="false">VLOOKUP(combined!A161,lung_cancer!B:E,4,0)</f>
        <v>#N/A</v>
      </c>
      <c r="G161" s="1" t="n">
        <f aca="false">VLOOKUP(combined!A161,life_expect!B:C,2,0)</f>
        <v>77.16</v>
      </c>
    </row>
    <row r="162" customFormat="false" ht="12.8" hidden="false" customHeight="false" outlineLevel="0" collapsed="false">
      <c r="A162" s="0" t="str">
        <f aca="false">air_poll_mean!B162</f>
        <v>Turkmenistan</v>
      </c>
      <c r="B162" s="0" t="n">
        <f aca="false">air_poll_mean!C162</f>
        <v>104.722222222222</v>
      </c>
      <c r="C162" s="1" t="n">
        <f aca="false">VLOOKUP(combined!A162,coal_mean_per_year!B:C,2,0)</f>
        <v>0.71175599985</v>
      </c>
      <c r="D162" s="1" t="n">
        <f aca="false">VLOOKUP(combined!A162,chronic_lung_death_rate!B:G,6,0)</f>
        <v>9.28930340255459</v>
      </c>
      <c r="E162" s="1" t="n">
        <f aca="false">VLOOKUP(combined!A162,cancer!B:E,4,0)</f>
        <v>76.22</v>
      </c>
      <c r="F162" s="1" t="n">
        <f aca="false">VLOOKUP(combined!A162,lung_cancer!B:E,4,0)</f>
        <v>5.15</v>
      </c>
      <c r="G162" s="1" t="n">
        <f aca="false">VLOOKUP(combined!A162,life_expect!B:C,2,0)</f>
        <v>70.07</v>
      </c>
    </row>
    <row r="163" customFormat="false" ht="12.8" hidden="false" customHeight="false" outlineLevel="0" collapsed="false">
      <c r="A163" s="0" t="str">
        <f aca="false">air_poll_mean!B163</f>
        <v>Uganda</v>
      </c>
      <c r="B163" s="0" t="n">
        <f aca="false">air_poll_mean!C163</f>
        <v>85.3174603174603</v>
      </c>
      <c r="C163" s="1" t="e">
        <f aca="false">VLOOKUP(combined!A163,coal_mean_per_year!B:C,2,0)</f>
        <v>#N/A</v>
      </c>
      <c r="D163" s="1" t="n">
        <f aca="false">VLOOKUP(combined!A163,chronic_lung_death_rate!B:G,6,0)</f>
        <v>10.2146836169982</v>
      </c>
      <c r="E163" s="1" t="n">
        <f aca="false">VLOOKUP(combined!A163,cancer!B:E,4,0)</f>
        <v>81.58</v>
      </c>
      <c r="F163" s="1" t="n">
        <f aca="false">VLOOKUP(combined!A163,lung_cancer!B:E,4,0)</f>
        <v>1.63</v>
      </c>
      <c r="G163" s="1" t="n">
        <f aca="false">VLOOKUP(combined!A163,life_expect!B:C,2,0)</f>
        <v>68.25</v>
      </c>
    </row>
    <row r="164" customFormat="false" ht="12.8" hidden="false" customHeight="false" outlineLevel="0" collapsed="false">
      <c r="A164" s="0" t="str">
        <f aca="false">air_poll_mean!B164</f>
        <v>Ukraine</v>
      </c>
      <c r="B164" s="0" t="n">
        <f aca="false">air_poll_mean!C164</f>
        <v>51.0547945205479</v>
      </c>
      <c r="C164" s="1" t="n">
        <f aca="false">VLOOKUP(combined!A164,coal_mean_per_year!B:C,2,0)</f>
        <v>509.8044825</v>
      </c>
      <c r="D164" s="1" t="n">
        <f aca="false">VLOOKUP(combined!A164,chronic_lung_death_rate!B:G,6,0)</f>
        <v>19.5383868024236</v>
      </c>
      <c r="E164" s="1" t="n">
        <f aca="false">VLOOKUP(combined!A164,cancer!B:E,4,0)</f>
        <v>139.81</v>
      </c>
      <c r="F164" s="1" t="n">
        <f aca="false">VLOOKUP(combined!A164,lung_cancer!B:E,4,0)</f>
        <v>11.11</v>
      </c>
      <c r="G164" s="1" t="n">
        <f aca="false">VLOOKUP(combined!A164,life_expect!B:C,2,0)</f>
        <v>73.42</v>
      </c>
    </row>
    <row r="165" customFormat="false" ht="12.8" hidden="false" customHeight="false" outlineLevel="0" collapsed="false">
      <c r="A165" s="0" t="str">
        <f aca="false">air_poll_mean!B165</f>
        <v>United Arab Emirates</v>
      </c>
      <c r="B165" s="0" t="n">
        <f aca="false">air_poll_mean!C165</f>
        <v>163.666666666667</v>
      </c>
      <c r="C165" s="1" t="n">
        <f aca="false">VLOOKUP(combined!A165,coal_mean_per_year!B:C,2,0)</f>
        <v>5.684591305</v>
      </c>
      <c r="D165" s="1" t="n">
        <f aca="false">VLOOKUP(combined!A165,chronic_lung_death_rate!B:G,6,0)</f>
        <v>4.08121216259766</v>
      </c>
      <c r="E165" s="1" t="n">
        <f aca="false">VLOOKUP(combined!A165,cancer!B:E,4,0)</f>
        <v>83.23</v>
      </c>
      <c r="F165" s="1" t="n">
        <f aca="false">VLOOKUP(combined!A165,lung_cancer!B:E,4,0)</f>
        <v>3.16</v>
      </c>
      <c r="G165" s="1" t="n">
        <f aca="false">VLOOKUP(combined!A165,life_expect!B:C,2,0)</f>
        <v>82.91</v>
      </c>
    </row>
    <row r="166" customFormat="false" ht="12.8" hidden="false" customHeight="false" outlineLevel="0" collapsed="false">
      <c r="A166" s="0" t="str">
        <f aca="false">air_poll_mean!B166</f>
        <v>United Kingdom of Great Britain and Northern Ireland</v>
      </c>
      <c r="B166" s="0" t="n">
        <f aca="false">air_poll_mean!C166</f>
        <v>39.515</v>
      </c>
      <c r="C166" s="1" t="e">
        <f aca="false">VLOOKUP(combined!A166,coal_mean_per_year!B:C,2,0)</f>
        <v>#N/A</v>
      </c>
      <c r="D166" s="1" t="e">
        <f aca="false">VLOOKUP(combined!A166,chronic_lung_death_rate!B:G,6,0)</f>
        <v>#N/A</v>
      </c>
      <c r="E166" s="1" t="e">
        <f aca="false">VLOOKUP(combined!A166,cancer!B:E,4,0)</f>
        <v>#N/A</v>
      </c>
      <c r="F166" s="1" t="e">
        <f aca="false">VLOOKUP(combined!A166,lung_cancer!B:E,4,0)</f>
        <v>#N/A</v>
      </c>
      <c r="G166" s="1" t="e">
        <f aca="false">VLOOKUP(combined!A166,life_expect!B:C,2,0)</f>
        <v>#N/A</v>
      </c>
    </row>
    <row r="167" customFormat="false" ht="12.8" hidden="false" customHeight="false" outlineLevel="0" collapsed="false">
      <c r="A167" s="0" t="str">
        <f aca="false">air_poll_mean!B167</f>
        <v>United Republic of Tanzania</v>
      </c>
      <c r="B167" s="0" t="n">
        <f aca="false">air_poll_mean!C167</f>
        <v>31.6331877729258</v>
      </c>
      <c r="C167" s="1" t="e">
        <f aca="false">VLOOKUP(combined!A167,coal_mean_per_year!B:C,2,0)</f>
        <v>#N/A</v>
      </c>
      <c r="D167" s="1" t="n">
        <f aca="false">VLOOKUP(combined!A167,chronic_lung_death_rate!B:G,6,0)</f>
        <v>11.5418854854979</v>
      </c>
      <c r="E167" s="1" t="e">
        <f aca="false">VLOOKUP(combined!A167,cancer!B:E,4,0)</f>
        <v>#N/A</v>
      </c>
      <c r="F167" s="1" t="e">
        <f aca="false">VLOOKUP(combined!A167,lung_cancer!B:E,4,0)</f>
        <v>#N/A</v>
      </c>
      <c r="G167" s="1" t="e">
        <f aca="false">VLOOKUP(combined!A167,life_expect!B:C,2,0)</f>
        <v>#N/A</v>
      </c>
    </row>
    <row r="168" customFormat="false" ht="12.8" hidden="false" customHeight="false" outlineLevel="0" collapsed="false">
      <c r="A168" s="0" t="str">
        <f aca="false">air_poll_mean!B168</f>
        <v>United States of America</v>
      </c>
      <c r="B168" s="0" t="n">
        <f aca="false">air_poll_mean!C168</f>
        <v>59.7405988857939</v>
      </c>
      <c r="C168" s="1" t="e">
        <f aca="false">VLOOKUP(combined!A168,coal_mean_per_year!B:C,2,0)</f>
        <v>#N/A</v>
      </c>
      <c r="D168" s="1" t="n">
        <f aca="false">VLOOKUP(combined!A168,chronic_lung_death_rate!B:G,6,0)</f>
        <v>65.865077218356</v>
      </c>
      <c r="E168" s="1" t="n">
        <f aca="false">VLOOKUP(combined!A168,cancer!B:E,4,0)</f>
        <v>259.12</v>
      </c>
      <c r="F168" s="1" t="n">
        <f aca="false">VLOOKUP(combined!A168,lung_cancer!B:E,4,0)</f>
        <v>17.05</v>
      </c>
      <c r="G168" s="1" t="e">
        <f aca="false">VLOOKUP(combined!A168,life_expect!B:C,2,0)</f>
        <v>#N/A</v>
      </c>
    </row>
    <row r="169" customFormat="false" ht="12.8" hidden="false" customHeight="false" outlineLevel="0" collapsed="false">
      <c r="A169" s="0" t="str">
        <f aca="false">air_poll_mean!B169</f>
        <v>Uruguay</v>
      </c>
      <c r="B169" s="0" t="n">
        <f aca="false">air_poll_mean!C169</f>
        <v>26.6538461538462</v>
      </c>
      <c r="C169" s="1" t="e">
        <f aca="false">VLOOKUP(combined!A169,coal_mean_per_year!B:C,2,0)</f>
        <v>#N/A</v>
      </c>
      <c r="D169" s="1" t="n">
        <f aca="false">VLOOKUP(combined!A169,chronic_lung_death_rate!B:G,6,0)</f>
        <v>61.7703443535466</v>
      </c>
      <c r="E169" s="1" t="n">
        <f aca="false">VLOOKUP(combined!A169,cancer!B:E,4,0)</f>
        <v>194.28</v>
      </c>
      <c r="F169" s="1" t="n">
        <f aca="false">VLOOKUP(combined!A169,lung_cancer!B:E,4,0)</f>
        <v>16</v>
      </c>
      <c r="G169" s="1" t="n">
        <f aca="false">VLOOKUP(combined!A169,life_expect!B:C,2,0)</f>
        <v>78.14</v>
      </c>
    </row>
    <row r="170" customFormat="false" ht="12.8" hidden="false" customHeight="false" outlineLevel="0" collapsed="false">
      <c r="A170" s="0" t="str">
        <f aca="false">air_poll_mean!B170</f>
        <v>Uzbekistan</v>
      </c>
      <c r="B170" s="0" t="n">
        <f aca="false">air_poll_mean!C170</f>
        <v>119.086206896552</v>
      </c>
      <c r="C170" s="1" t="n">
        <f aca="false">VLOOKUP(combined!A170,coal_mean_per_year!B:C,2,0)</f>
        <v>16.6137639375</v>
      </c>
      <c r="D170" s="1" t="n">
        <f aca="false">VLOOKUP(combined!A170,chronic_lung_death_rate!B:G,6,0)</f>
        <v>8.98509988879443</v>
      </c>
      <c r="E170" s="1" t="n">
        <f aca="false">VLOOKUP(combined!A170,cancer!B:E,4,0)</f>
        <v>73.44</v>
      </c>
      <c r="F170" s="1" t="n">
        <f aca="false">VLOOKUP(combined!A170,lung_cancer!B:E,4,0)</f>
        <v>4.56</v>
      </c>
      <c r="G170" s="1" t="n">
        <f aca="false">VLOOKUP(combined!A170,life_expect!B:C,2,0)</f>
        <v>72.39</v>
      </c>
    </row>
    <row r="171" customFormat="false" ht="12.8" hidden="false" customHeight="false" outlineLevel="0" collapsed="false">
      <c r="A171" s="0" t="str">
        <f aca="false">air_poll_mean!B171</f>
        <v>Vanuatu</v>
      </c>
      <c r="B171" s="0" t="n">
        <f aca="false">air_poll_mean!C171</f>
        <v>30</v>
      </c>
      <c r="C171" s="1" t="e">
        <f aca="false">VLOOKUP(combined!A171,coal_mean_per_year!B:C,2,0)</f>
        <v>#N/A</v>
      </c>
      <c r="D171" s="1" t="n">
        <f aca="false">VLOOKUP(combined!A171,chronic_lung_death_rate!B:G,6,0)</f>
        <v>41.5146300695578</v>
      </c>
      <c r="E171" s="1" t="n">
        <f aca="false">VLOOKUP(combined!A171,cancer!B:E,4,0)</f>
        <v>77.79</v>
      </c>
      <c r="F171" s="1" t="n">
        <f aca="false">VLOOKUP(combined!A171,lung_cancer!B:E,4,0)</f>
        <v>4.95</v>
      </c>
      <c r="G171" s="1" t="n">
        <f aca="false">VLOOKUP(combined!A171,life_expect!B:C,2,0)</f>
        <v>71.48</v>
      </c>
    </row>
    <row r="172" customFormat="false" ht="12.8" hidden="false" customHeight="false" outlineLevel="0" collapsed="false">
      <c r="A172" s="0" t="str">
        <f aca="false">air_poll_mean!B172</f>
        <v>Venezuela (Bolivarian Republic of)</v>
      </c>
      <c r="B172" s="0" t="n">
        <f aca="false">air_poll_mean!C172</f>
        <v>77.7222222222222</v>
      </c>
      <c r="C172" s="1" t="e">
        <f aca="false">VLOOKUP(combined!A172,coal_mean_per_year!B:C,2,0)</f>
        <v>#N/A</v>
      </c>
      <c r="D172" s="1" t="n">
        <f aca="false">VLOOKUP(combined!A172,chronic_lung_death_rate!B:G,6,0)</f>
        <v>21.4112007736093</v>
      </c>
      <c r="E172" s="1" t="e">
        <f aca="false">VLOOKUP(combined!A172,cancer!B:E,4,0)</f>
        <v>#N/A</v>
      </c>
      <c r="F172" s="1" t="e">
        <f aca="false">VLOOKUP(combined!A172,lung_cancer!B:E,4,0)</f>
        <v>#N/A</v>
      </c>
      <c r="G172" s="1" t="e">
        <f aca="false">VLOOKUP(combined!A172,life_expect!B:C,2,0)</f>
        <v>#N/A</v>
      </c>
    </row>
    <row r="173" customFormat="false" ht="12.8" hidden="false" customHeight="false" outlineLevel="0" collapsed="false">
      <c r="A173" s="0" t="str">
        <f aca="false">air_poll_mean!B173</f>
        <v>Viet Nam</v>
      </c>
      <c r="B173" s="0" t="n">
        <f aca="false">air_poll_mean!C173</f>
        <v>87.05</v>
      </c>
      <c r="C173" s="1" t="e">
        <f aca="false">VLOOKUP(combined!A173,coal_mean_per_year!B:C,2,0)</f>
        <v>#N/A</v>
      </c>
      <c r="D173" s="1" t="n">
        <f aca="false">VLOOKUP(combined!A173,chronic_lung_death_rate!B:G,6,0)</f>
        <v>46.9273129135873</v>
      </c>
      <c r="E173" s="1" t="n">
        <f aca="false">VLOOKUP(combined!A173,cancer!B:E,4,0)</f>
        <v>94.6</v>
      </c>
      <c r="F173" s="1" t="n">
        <f aca="false">VLOOKUP(combined!A173,lung_cancer!B:E,4,0)</f>
        <v>11.03</v>
      </c>
      <c r="G173" s="1" t="e">
        <f aca="false">VLOOKUP(combined!A173,life_expect!B:C,2,0)</f>
        <v>#N/A</v>
      </c>
    </row>
    <row r="174" customFormat="false" ht="12.8" hidden="false" customHeight="false" outlineLevel="0" collapsed="false">
      <c r="A174" s="0" t="str">
        <f aca="false">air_poll_mean!B174</f>
        <v>Yemen</v>
      </c>
      <c r="B174" s="0" t="n">
        <f aca="false">air_poll_mean!C174</f>
        <v>144.571428571429</v>
      </c>
      <c r="C174" s="1" t="e">
        <f aca="false">VLOOKUP(combined!A174,coal_mean_per_year!B:C,2,0)</f>
        <v>#N/A</v>
      </c>
      <c r="D174" s="1" t="n">
        <f aca="false">VLOOKUP(combined!A174,chronic_lung_death_rate!B:G,6,0)</f>
        <v>11.1771642521126</v>
      </c>
      <c r="E174" s="1" t="n">
        <f aca="false">VLOOKUP(combined!A174,cancer!B:E,4,0)</f>
        <v>39.73</v>
      </c>
      <c r="F174" s="1" t="n">
        <f aca="false">VLOOKUP(combined!A174,lung_cancer!B:E,4,0)</f>
        <v>2.38</v>
      </c>
      <c r="G174" s="1" t="n">
        <f aca="false">VLOOKUP(combined!A174,life_expect!B:C,2,0)</f>
        <v>69.3</v>
      </c>
    </row>
    <row r="175" customFormat="false" ht="12.8" hidden="false" customHeight="false" outlineLevel="0" collapsed="false">
      <c r="A175" s="0" t="str">
        <f aca="false">air_poll_mean!B175</f>
        <v>Zambia</v>
      </c>
      <c r="B175" s="0" t="n">
        <f aca="false">air_poll_mean!C175</f>
        <v>40.6666666666667</v>
      </c>
      <c r="C175" s="1" t="e">
        <f aca="false">VLOOKUP(combined!A175,coal_mean_per_year!B:C,2,0)</f>
        <v>#N/A</v>
      </c>
      <c r="D175" s="1" t="n">
        <f aca="false">VLOOKUP(combined!A175,chronic_lung_death_rate!B:G,6,0)</f>
        <v>11.8923016403865</v>
      </c>
      <c r="E175" s="1" t="n">
        <f aca="false">VLOOKUP(combined!A175,cancer!B:E,4,0)</f>
        <v>83.92</v>
      </c>
      <c r="F175" s="1" t="n">
        <f aca="false">VLOOKUP(combined!A175,lung_cancer!B:E,4,0)</f>
        <v>1.52</v>
      </c>
      <c r="G175" s="1" t="n">
        <f aca="false">VLOOKUP(combined!A175,life_expect!B:C,2,0)</f>
        <v>66.35</v>
      </c>
    </row>
    <row r="176" customFormat="false" ht="12.8" hidden="false" customHeight="false" outlineLevel="0" collapsed="false">
      <c r="A176" s="0" t="str">
        <f aca="false">air_poll_mean!B176</f>
        <v>Zimbabwe</v>
      </c>
      <c r="B176" s="0" t="n">
        <f aca="false">air_poll_mean!C176</f>
        <v>43.7407407407407</v>
      </c>
      <c r="C176" s="1" t="e">
        <f aca="false">VLOOKUP(combined!A176,coal_mean_per_year!B:C,2,0)</f>
        <v>#N/A</v>
      </c>
      <c r="D176" s="1" t="n">
        <f aca="false">VLOOKUP(combined!A176,chronic_lung_death_rate!B:G,6,0)</f>
        <v>22.0733234676575</v>
      </c>
      <c r="E176" s="1" t="n">
        <f aca="false">VLOOKUP(combined!A176,cancer!B:E,4,0)</f>
        <v>110.92</v>
      </c>
      <c r="F176" s="1" t="n">
        <f aca="false">VLOOKUP(combined!A176,lung_cancer!B:E,4,0)</f>
        <v>3.06</v>
      </c>
      <c r="G176" s="1" t="n">
        <f aca="false">VLOOKUP(combined!A176,life_expect!B:C,2,0)</f>
        <v>62.77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.48"/>
    <col collapsed="false" customWidth="true" hidden="false" outlineLevel="0" max="2" min="2" style="0" width="43.99"/>
    <col collapsed="false" customWidth="true" hidden="false" outlineLevel="0" max="3" min="3" style="0" width="16.73"/>
  </cols>
  <sheetData>
    <row r="1" customFormat="false" ht="12.8" hidden="false" customHeight="false" outlineLevel="0" collapsed="false">
      <c r="B1" s="0" t="s">
        <v>0</v>
      </c>
      <c r="C1" s="0" t="s">
        <v>1</v>
      </c>
    </row>
    <row r="2" customFormat="false" ht="12.8" hidden="false" customHeight="false" outlineLevel="0" collapsed="false">
      <c r="A2" s="0" t="n">
        <v>0</v>
      </c>
      <c r="B2" s="0" t="s">
        <v>2</v>
      </c>
      <c r="C2" s="0" t="n">
        <v>95.9591836734694</v>
      </c>
    </row>
    <row r="3" customFormat="false" ht="12.8" hidden="false" customHeight="false" outlineLevel="0" collapsed="false">
      <c r="A3" s="0" t="n">
        <v>1</v>
      </c>
      <c r="B3" s="0" t="s">
        <v>3</v>
      </c>
      <c r="C3" s="0" t="n">
        <v>68.25</v>
      </c>
    </row>
    <row r="4" customFormat="false" ht="12.8" hidden="false" customHeight="false" outlineLevel="0" collapsed="false">
      <c r="A4" s="0" t="n">
        <v>2</v>
      </c>
      <c r="B4" s="0" t="s">
        <v>4</v>
      </c>
      <c r="C4" s="0" t="n">
        <v>88.1666666666667</v>
      </c>
    </row>
    <row r="5" customFormat="false" ht="12.8" hidden="false" customHeight="false" outlineLevel="0" collapsed="false">
      <c r="A5" s="0" t="n">
        <v>3</v>
      </c>
      <c r="B5" s="0" t="s">
        <v>5</v>
      </c>
      <c r="C5" s="0" t="n">
        <v>29.3333333333333</v>
      </c>
    </row>
    <row r="6" customFormat="false" ht="12.8" hidden="false" customHeight="false" outlineLevel="0" collapsed="false">
      <c r="A6" s="0" t="n">
        <v>4</v>
      </c>
      <c r="B6" s="0" t="s">
        <v>6</v>
      </c>
      <c r="C6" s="0" t="n">
        <v>83.9259259259259</v>
      </c>
    </row>
    <row r="7" customFormat="false" ht="12.8" hidden="false" customHeight="false" outlineLevel="0" collapsed="false">
      <c r="A7" s="0" t="n">
        <v>5</v>
      </c>
      <c r="B7" s="0" t="s">
        <v>7</v>
      </c>
      <c r="C7" s="0" t="n">
        <v>28.4492753623188</v>
      </c>
    </row>
    <row r="8" customFormat="false" ht="12.8" hidden="false" customHeight="false" outlineLevel="0" collapsed="false">
      <c r="A8" s="0" t="n">
        <v>6</v>
      </c>
      <c r="B8" s="0" t="s">
        <v>8</v>
      </c>
      <c r="C8" s="0" t="n">
        <v>53.6363636363636</v>
      </c>
    </row>
    <row r="9" customFormat="false" ht="12.8" hidden="false" customHeight="false" outlineLevel="0" collapsed="false">
      <c r="A9" s="0" t="n">
        <v>7</v>
      </c>
      <c r="B9" s="0" t="s">
        <v>9</v>
      </c>
      <c r="C9" s="0" t="n">
        <v>163</v>
      </c>
    </row>
    <row r="10" customFormat="false" ht="12.8" hidden="false" customHeight="false" outlineLevel="0" collapsed="false">
      <c r="A10" s="0" t="n">
        <v>8</v>
      </c>
      <c r="B10" s="0" t="s">
        <v>10</v>
      </c>
      <c r="C10" s="0" t="n">
        <v>33.6</v>
      </c>
    </row>
    <row r="11" customFormat="false" ht="12.8" hidden="false" customHeight="false" outlineLevel="0" collapsed="false">
      <c r="A11" s="0" t="n">
        <v>9</v>
      </c>
      <c r="B11" s="0" t="s">
        <v>11</v>
      </c>
      <c r="C11" s="0" t="n">
        <v>53.7205882352941</v>
      </c>
    </row>
    <row r="12" customFormat="false" ht="12.8" hidden="false" customHeight="false" outlineLevel="0" collapsed="false">
      <c r="A12" s="0" t="n">
        <v>10</v>
      </c>
      <c r="B12" s="0" t="s">
        <v>12</v>
      </c>
      <c r="C12" s="0" t="n">
        <v>58.7631578947368</v>
      </c>
    </row>
    <row r="13" customFormat="false" ht="12.8" hidden="false" customHeight="false" outlineLevel="0" collapsed="false">
      <c r="A13" s="0" t="n">
        <v>11</v>
      </c>
      <c r="B13" s="0" t="s">
        <v>13</v>
      </c>
      <c r="C13" s="0" t="n">
        <v>188</v>
      </c>
    </row>
    <row r="14" customFormat="false" ht="12.8" hidden="false" customHeight="false" outlineLevel="0" collapsed="false">
      <c r="A14" s="0" t="n">
        <v>12</v>
      </c>
      <c r="B14" s="0" t="s">
        <v>14</v>
      </c>
      <c r="C14" s="0" t="n">
        <v>113.4625</v>
      </c>
    </row>
    <row r="15" customFormat="false" ht="12.8" hidden="false" customHeight="false" outlineLevel="0" collapsed="false">
      <c r="A15" s="0" t="n">
        <v>13</v>
      </c>
      <c r="B15" s="0" t="s">
        <v>15</v>
      </c>
      <c r="C15" s="0" t="n">
        <v>73</v>
      </c>
    </row>
    <row r="16" customFormat="false" ht="12.8" hidden="false" customHeight="false" outlineLevel="0" collapsed="false">
      <c r="A16" s="0" t="n">
        <v>14</v>
      </c>
      <c r="B16" s="0" t="s">
        <v>16</v>
      </c>
      <c r="C16" s="0" t="n">
        <v>38.4545454545455</v>
      </c>
    </row>
    <row r="17" customFormat="false" ht="12.8" hidden="false" customHeight="false" outlineLevel="0" collapsed="false">
      <c r="A17" s="0" t="n">
        <v>15</v>
      </c>
      <c r="B17" s="0" t="s">
        <v>17</v>
      </c>
      <c r="C17" s="0" t="n">
        <v>44.580985915493</v>
      </c>
    </row>
    <row r="18" customFormat="false" ht="12.8" hidden="false" customHeight="false" outlineLevel="0" collapsed="false">
      <c r="A18" s="0" t="n">
        <v>16</v>
      </c>
      <c r="B18" s="0" t="s">
        <v>18</v>
      </c>
      <c r="C18" s="0" t="n">
        <v>46.3333333333333</v>
      </c>
    </row>
    <row r="19" customFormat="false" ht="12.8" hidden="false" customHeight="false" outlineLevel="0" collapsed="false">
      <c r="A19" s="0" t="n">
        <v>17</v>
      </c>
      <c r="B19" s="0" t="s">
        <v>19</v>
      </c>
      <c r="C19" s="0" t="n">
        <v>67.1111111111111</v>
      </c>
    </row>
    <row r="20" customFormat="false" ht="12.8" hidden="false" customHeight="false" outlineLevel="0" collapsed="false">
      <c r="A20" s="0" t="n">
        <v>18</v>
      </c>
      <c r="B20" s="0" t="s">
        <v>20</v>
      </c>
      <c r="C20" s="0" t="n">
        <v>26</v>
      </c>
    </row>
    <row r="21" customFormat="false" ht="12.8" hidden="false" customHeight="false" outlineLevel="0" collapsed="false">
      <c r="A21" s="0" t="n">
        <v>19</v>
      </c>
      <c r="B21" s="0" t="s">
        <v>21</v>
      </c>
      <c r="C21" s="0" t="n">
        <v>23.7878787878788</v>
      </c>
    </row>
    <row r="22" customFormat="false" ht="12.8" hidden="false" customHeight="false" outlineLevel="0" collapsed="false">
      <c r="A22" s="0" t="n">
        <v>20</v>
      </c>
      <c r="B22" s="0" t="s">
        <v>22</v>
      </c>
      <c r="C22" s="0" t="n">
        <v>60.5555555555556</v>
      </c>
    </row>
    <row r="23" customFormat="false" ht="12.8" hidden="false" customHeight="false" outlineLevel="0" collapsed="false">
      <c r="A23" s="0" t="n">
        <v>21</v>
      </c>
      <c r="B23" s="0" t="s">
        <v>23</v>
      </c>
      <c r="C23" s="0" t="n">
        <v>43.5789473684211</v>
      </c>
    </row>
    <row r="24" customFormat="false" ht="12.8" hidden="false" customHeight="false" outlineLevel="0" collapsed="false">
      <c r="A24" s="0" t="n">
        <v>22</v>
      </c>
      <c r="B24" s="0" t="s">
        <v>24</v>
      </c>
      <c r="C24" s="0" t="n">
        <v>44.5749039692702</v>
      </c>
    </row>
    <row r="25" customFormat="false" ht="12.8" hidden="false" customHeight="false" outlineLevel="0" collapsed="false">
      <c r="A25" s="0" t="n">
        <v>23</v>
      </c>
      <c r="B25" s="0" t="s">
        <v>25</v>
      </c>
      <c r="C25" s="0" t="n">
        <v>54.2615384615385</v>
      </c>
    </row>
    <row r="26" customFormat="false" ht="12.8" hidden="false" customHeight="false" outlineLevel="0" collapsed="false">
      <c r="A26" s="0" t="n">
        <v>24</v>
      </c>
      <c r="B26" s="0" t="s">
        <v>26</v>
      </c>
      <c r="C26" s="0" t="n">
        <v>51.5882352941176</v>
      </c>
    </row>
    <row r="27" customFormat="false" ht="12.8" hidden="false" customHeight="false" outlineLevel="0" collapsed="false">
      <c r="A27" s="0" t="n">
        <v>25</v>
      </c>
      <c r="B27" s="0" t="s">
        <v>27</v>
      </c>
      <c r="C27" s="0" t="n">
        <v>62.6923076923077</v>
      </c>
    </row>
    <row r="28" customFormat="false" ht="12.8" hidden="false" customHeight="false" outlineLevel="0" collapsed="false">
      <c r="A28" s="0" t="n">
        <v>26</v>
      </c>
      <c r="B28" s="0" t="s">
        <v>28</v>
      </c>
      <c r="C28" s="0" t="n">
        <v>38</v>
      </c>
    </row>
    <row r="29" customFormat="false" ht="12.8" hidden="false" customHeight="false" outlineLevel="0" collapsed="false">
      <c r="A29" s="0" t="n">
        <v>27</v>
      </c>
      <c r="B29" s="0" t="s">
        <v>29</v>
      </c>
      <c r="C29" s="0" t="n">
        <v>45.25</v>
      </c>
    </row>
    <row r="30" customFormat="false" ht="12.8" hidden="false" customHeight="false" outlineLevel="0" collapsed="false">
      <c r="A30" s="0" t="n">
        <v>28</v>
      </c>
      <c r="B30" s="0" t="s">
        <v>30</v>
      </c>
      <c r="C30" s="0" t="n">
        <v>69.015625</v>
      </c>
    </row>
    <row r="31" customFormat="false" ht="12.8" hidden="false" customHeight="false" outlineLevel="0" collapsed="false">
      <c r="A31" s="0" t="n">
        <v>29</v>
      </c>
      <c r="B31" s="0" t="s">
        <v>31</v>
      </c>
      <c r="C31" s="0" t="n">
        <v>43.2624113475177</v>
      </c>
    </row>
    <row r="32" customFormat="false" ht="12.8" hidden="false" customHeight="false" outlineLevel="0" collapsed="false">
      <c r="A32" s="0" t="n">
        <v>30</v>
      </c>
      <c r="B32" s="0" t="s">
        <v>32</v>
      </c>
      <c r="C32" s="0" t="n">
        <v>64.1666666666667</v>
      </c>
    </row>
    <row r="33" customFormat="false" ht="12.8" hidden="false" customHeight="false" outlineLevel="0" collapsed="false">
      <c r="A33" s="0" t="n">
        <v>31</v>
      </c>
      <c r="B33" s="0" t="s">
        <v>33</v>
      </c>
      <c r="C33" s="0" t="n">
        <v>75.3333333333333</v>
      </c>
    </row>
    <row r="34" customFormat="false" ht="12.8" hidden="false" customHeight="false" outlineLevel="0" collapsed="false">
      <c r="A34" s="0" t="n">
        <v>32</v>
      </c>
      <c r="B34" s="0" t="s">
        <v>34</v>
      </c>
      <c r="C34" s="0" t="n">
        <v>87.8518518518519</v>
      </c>
    </row>
    <row r="35" customFormat="false" ht="12.8" hidden="false" customHeight="false" outlineLevel="0" collapsed="false">
      <c r="A35" s="0" t="n">
        <v>33</v>
      </c>
      <c r="B35" s="0" t="s">
        <v>35</v>
      </c>
      <c r="C35" s="0" t="n">
        <v>126.953459119497</v>
      </c>
    </row>
    <row r="36" customFormat="false" ht="12.8" hidden="false" customHeight="false" outlineLevel="0" collapsed="false">
      <c r="A36" s="0" t="n">
        <v>34</v>
      </c>
      <c r="B36" s="0" t="s">
        <v>36</v>
      </c>
      <c r="C36" s="0" t="n">
        <v>66.068</v>
      </c>
    </row>
    <row r="37" customFormat="false" ht="12.8" hidden="false" customHeight="false" outlineLevel="0" collapsed="false">
      <c r="A37" s="0" t="n">
        <v>35</v>
      </c>
      <c r="B37" s="0" t="s">
        <v>37</v>
      </c>
      <c r="C37" s="0" t="n">
        <v>33</v>
      </c>
    </row>
    <row r="38" customFormat="false" ht="12.8" hidden="false" customHeight="false" outlineLevel="0" collapsed="false">
      <c r="A38" s="0" t="n">
        <v>36</v>
      </c>
      <c r="B38" s="0" t="s">
        <v>38</v>
      </c>
      <c r="C38" s="0" t="n">
        <v>87.5833333333333</v>
      </c>
    </row>
    <row r="39" customFormat="false" ht="12.8" hidden="false" customHeight="false" outlineLevel="0" collapsed="false">
      <c r="A39" s="0" t="n">
        <v>37</v>
      </c>
      <c r="B39" s="0" t="s">
        <v>39</v>
      </c>
      <c r="C39" s="0" t="n">
        <v>58.8157894736842</v>
      </c>
    </row>
    <row r="40" customFormat="false" ht="12.8" hidden="false" customHeight="false" outlineLevel="0" collapsed="false">
      <c r="A40" s="0" t="n">
        <v>38</v>
      </c>
      <c r="B40" s="0" t="s">
        <v>40</v>
      </c>
      <c r="C40" s="0" t="n">
        <v>57.9354838709677</v>
      </c>
    </row>
    <row r="41" customFormat="false" ht="12.8" hidden="false" customHeight="false" outlineLevel="0" collapsed="false">
      <c r="A41" s="0" t="n">
        <v>39</v>
      </c>
      <c r="B41" s="0" t="s">
        <v>41</v>
      </c>
      <c r="C41" s="0" t="n">
        <v>63.0714285714286</v>
      </c>
    </row>
    <row r="42" customFormat="false" ht="12.8" hidden="false" customHeight="false" outlineLevel="0" collapsed="false">
      <c r="A42" s="0" t="n">
        <v>40</v>
      </c>
      <c r="B42" s="0" t="s">
        <v>42</v>
      </c>
      <c r="C42" s="0" t="n">
        <v>50.8333333333333</v>
      </c>
    </row>
    <row r="43" customFormat="false" ht="12.8" hidden="false" customHeight="false" outlineLevel="0" collapsed="false">
      <c r="A43" s="0" t="n">
        <v>41</v>
      </c>
      <c r="B43" s="0" t="s">
        <v>43</v>
      </c>
      <c r="C43" s="0" t="n">
        <v>60.9055118110236</v>
      </c>
    </row>
    <row r="44" customFormat="false" ht="12.8" hidden="false" customHeight="false" outlineLevel="0" collapsed="false">
      <c r="A44" s="0" t="n">
        <v>42</v>
      </c>
      <c r="B44" s="0" t="s">
        <v>44</v>
      </c>
      <c r="C44" s="0" t="n">
        <v>53.2835820895522</v>
      </c>
    </row>
    <row r="45" customFormat="false" ht="12.8" hidden="false" customHeight="false" outlineLevel="0" collapsed="false">
      <c r="A45" s="0" t="n">
        <v>43</v>
      </c>
      <c r="B45" s="0" t="s">
        <v>45</v>
      </c>
      <c r="C45" s="0" t="n">
        <v>114.814285714286</v>
      </c>
    </row>
    <row r="46" customFormat="false" ht="12.8" hidden="false" customHeight="false" outlineLevel="0" collapsed="false">
      <c r="A46" s="0" t="n">
        <v>44</v>
      </c>
      <c r="B46" s="0" t="s">
        <v>46</v>
      </c>
      <c r="C46" s="0" t="n">
        <v>38.0166666666667</v>
      </c>
    </row>
    <row r="47" customFormat="false" ht="12.8" hidden="false" customHeight="false" outlineLevel="0" collapsed="false">
      <c r="A47" s="0" t="n">
        <v>45</v>
      </c>
      <c r="B47" s="0" t="s">
        <v>47</v>
      </c>
      <c r="C47" s="0" t="n">
        <v>108.078947368421</v>
      </c>
    </row>
    <row r="48" customFormat="false" ht="12.8" hidden="false" customHeight="false" outlineLevel="0" collapsed="false">
      <c r="A48" s="0" t="n">
        <v>46</v>
      </c>
      <c r="B48" s="0" t="s">
        <v>48</v>
      </c>
      <c r="C48" s="0" t="n">
        <v>45.3333333333333</v>
      </c>
    </row>
    <row r="49" customFormat="false" ht="12.8" hidden="false" customHeight="false" outlineLevel="0" collapsed="false">
      <c r="A49" s="0" t="n">
        <v>47</v>
      </c>
      <c r="B49" s="0" t="s">
        <v>49</v>
      </c>
      <c r="C49" s="0" t="n">
        <v>101.65</v>
      </c>
    </row>
    <row r="50" customFormat="false" ht="12.8" hidden="false" customHeight="false" outlineLevel="0" collapsed="false">
      <c r="A50" s="0" t="n">
        <v>48</v>
      </c>
      <c r="B50" s="0" t="s">
        <v>50</v>
      </c>
      <c r="C50" s="0" t="n">
        <v>97.3636363636364</v>
      </c>
    </row>
    <row r="51" customFormat="false" ht="12.8" hidden="false" customHeight="false" outlineLevel="0" collapsed="false">
      <c r="A51" s="0" t="n">
        <v>49</v>
      </c>
      <c r="B51" s="0" t="s">
        <v>51</v>
      </c>
      <c r="C51" s="0" t="n">
        <v>45.25</v>
      </c>
    </row>
    <row r="52" customFormat="false" ht="12.8" hidden="false" customHeight="false" outlineLevel="0" collapsed="false">
      <c r="A52" s="0" t="n">
        <v>50</v>
      </c>
      <c r="B52" s="0" t="s">
        <v>52</v>
      </c>
      <c r="C52" s="0" t="n">
        <v>99.2</v>
      </c>
    </row>
    <row r="53" customFormat="false" ht="12.8" hidden="false" customHeight="false" outlineLevel="0" collapsed="false">
      <c r="A53" s="0" t="n">
        <v>51</v>
      </c>
      <c r="B53" s="0" t="s">
        <v>53</v>
      </c>
      <c r="C53" s="0" t="n">
        <v>38.8333333333333</v>
      </c>
    </row>
    <row r="54" customFormat="false" ht="12.8" hidden="false" customHeight="false" outlineLevel="0" collapsed="false">
      <c r="A54" s="0" t="n">
        <v>52</v>
      </c>
      <c r="B54" s="0" t="s">
        <v>54</v>
      </c>
      <c r="C54" s="0" t="n">
        <v>78.7317073170732</v>
      </c>
    </row>
    <row r="55" customFormat="false" ht="12.8" hidden="false" customHeight="false" outlineLevel="0" collapsed="false">
      <c r="A55" s="0" t="n">
        <v>53</v>
      </c>
      <c r="B55" s="0" t="s">
        <v>55</v>
      </c>
      <c r="C55" s="0" t="n">
        <v>38.3703703703704</v>
      </c>
    </row>
    <row r="56" customFormat="false" ht="12.8" hidden="false" customHeight="false" outlineLevel="0" collapsed="false">
      <c r="A56" s="0" t="n">
        <v>54</v>
      </c>
      <c r="B56" s="0" t="s">
        <v>56</v>
      </c>
      <c r="C56" s="0" t="n">
        <v>53.3379052369077</v>
      </c>
    </row>
    <row r="57" customFormat="false" ht="12.8" hidden="false" customHeight="false" outlineLevel="0" collapsed="false">
      <c r="A57" s="0" t="n">
        <v>55</v>
      </c>
      <c r="B57" s="0" t="s">
        <v>57</v>
      </c>
      <c r="C57" s="0" t="n">
        <v>78.1</v>
      </c>
    </row>
    <row r="58" customFormat="false" ht="12.8" hidden="false" customHeight="false" outlineLevel="0" collapsed="false">
      <c r="A58" s="0" t="n">
        <v>56</v>
      </c>
      <c r="B58" s="0" t="s">
        <v>58</v>
      </c>
      <c r="C58" s="0" t="n">
        <v>147</v>
      </c>
    </row>
    <row r="59" customFormat="false" ht="12.8" hidden="false" customHeight="false" outlineLevel="0" collapsed="false">
      <c r="A59" s="0" t="n">
        <v>57</v>
      </c>
      <c r="B59" s="0" t="s">
        <v>59</v>
      </c>
      <c r="C59" s="0" t="n">
        <v>40.6</v>
      </c>
    </row>
    <row r="60" customFormat="false" ht="12.8" hidden="false" customHeight="false" outlineLevel="0" collapsed="false">
      <c r="A60" s="0" t="n">
        <v>58</v>
      </c>
      <c r="B60" s="0" t="s">
        <v>60</v>
      </c>
      <c r="C60" s="0" t="n">
        <v>48.2468401486989</v>
      </c>
    </row>
    <row r="61" customFormat="false" ht="12.8" hidden="false" customHeight="false" outlineLevel="0" collapsed="false">
      <c r="A61" s="0" t="n">
        <v>59</v>
      </c>
      <c r="B61" s="0" t="s">
        <v>61</v>
      </c>
      <c r="C61" s="0" t="n">
        <v>62.7931034482759</v>
      </c>
    </row>
    <row r="62" customFormat="false" ht="12.8" hidden="false" customHeight="false" outlineLevel="0" collapsed="false">
      <c r="A62" s="0" t="n">
        <v>60</v>
      </c>
      <c r="B62" s="0" t="s">
        <v>62</v>
      </c>
      <c r="C62" s="0" t="n">
        <v>68.2884615384615</v>
      </c>
    </row>
    <row r="63" customFormat="false" ht="12.8" hidden="false" customHeight="false" outlineLevel="0" collapsed="false">
      <c r="A63" s="0" t="n">
        <v>61</v>
      </c>
      <c r="B63" s="0" t="s">
        <v>63</v>
      </c>
      <c r="C63" s="0" t="n">
        <v>80.9504132231405</v>
      </c>
    </row>
    <row r="64" customFormat="false" ht="12.8" hidden="false" customHeight="false" outlineLevel="0" collapsed="false">
      <c r="A64" s="0" t="n">
        <v>62</v>
      </c>
      <c r="B64" s="0" t="s">
        <v>64</v>
      </c>
      <c r="C64" s="0" t="n">
        <v>62.4761904761905</v>
      </c>
    </row>
    <row r="65" customFormat="false" ht="12.8" hidden="false" customHeight="false" outlineLevel="0" collapsed="false">
      <c r="A65" s="0" t="n">
        <v>63</v>
      </c>
      <c r="B65" s="0" t="s">
        <v>65</v>
      </c>
      <c r="C65" s="0" t="n">
        <v>138.75</v>
      </c>
    </row>
    <row r="66" customFormat="false" ht="12.8" hidden="false" customHeight="false" outlineLevel="0" collapsed="false">
      <c r="A66" s="0" t="n">
        <v>64</v>
      </c>
      <c r="B66" s="0" t="s">
        <v>66</v>
      </c>
      <c r="C66" s="0" t="n">
        <v>45.5</v>
      </c>
    </row>
    <row r="67" customFormat="false" ht="12.8" hidden="false" customHeight="false" outlineLevel="0" collapsed="false">
      <c r="A67" s="0" t="n">
        <v>65</v>
      </c>
      <c r="B67" s="0" t="s">
        <v>67</v>
      </c>
      <c r="C67" s="0" t="n">
        <v>101.722222222222</v>
      </c>
    </row>
    <row r="68" customFormat="false" ht="12.8" hidden="false" customHeight="false" outlineLevel="0" collapsed="false">
      <c r="A68" s="0" t="n">
        <v>66</v>
      </c>
      <c r="B68" s="0" t="s">
        <v>68</v>
      </c>
      <c r="C68" s="0" t="n">
        <v>63.4285714285714</v>
      </c>
    </row>
    <row r="69" customFormat="false" ht="12.8" hidden="false" customHeight="false" outlineLevel="0" collapsed="false">
      <c r="A69" s="0" t="n">
        <v>67</v>
      </c>
      <c r="B69" s="0" t="s">
        <v>69</v>
      </c>
      <c r="C69" s="0" t="n">
        <v>63.6056338028169</v>
      </c>
    </row>
    <row r="70" customFormat="false" ht="12.8" hidden="false" customHeight="false" outlineLevel="0" collapsed="false">
      <c r="A70" s="0" t="n">
        <v>68</v>
      </c>
      <c r="B70" s="0" t="s">
        <v>70</v>
      </c>
      <c r="C70" s="0" t="n">
        <v>23</v>
      </c>
    </row>
    <row r="71" customFormat="false" ht="12.8" hidden="false" customHeight="false" outlineLevel="0" collapsed="false">
      <c r="A71" s="0" t="n">
        <v>69</v>
      </c>
      <c r="B71" s="0" t="s">
        <v>71</v>
      </c>
      <c r="C71" s="0" t="n">
        <v>152.96422829582</v>
      </c>
    </row>
    <row r="72" customFormat="false" ht="12.8" hidden="false" customHeight="false" outlineLevel="0" collapsed="false">
      <c r="A72" s="0" t="n">
        <v>70</v>
      </c>
      <c r="B72" s="0" t="s">
        <v>72</v>
      </c>
      <c r="C72" s="0" t="n">
        <v>93.0369393139842</v>
      </c>
    </row>
    <row r="73" customFormat="false" ht="12.8" hidden="false" customHeight="false" outlineLevel="0" collapsed="false">
      <c r="A73" s="0" t="n">
        <v>71</v>
      </c>
      <c r="B73" s="0" t="s">
        <v>73</v>
      </c>
      <c r="C73" s="0" t="n">
        <v>108.296089385475</v>
      </c>
    </row>
    <row r="74" customFormat="false" ht="12.8" hidden="false" customHeight="false" outlineLevel="0" collapsed="false">
      <c r="A74" s="0" t="n">
        <v>72</v>
      </c>
      <c r="B74" s="0" t="s">
        <v>74</v>
      </c>
      <c r="C74" s="0" t="n">
        <v>114.071428571429</v>
      </c>
    </row>
    <row r="75" customFormat="false" ht="12.8" hidden="false" customHeight="false" outlineLevel="0" collapsed="false">
      <c r="A75" s="0" t="n">
        <v>73</v>
      </c>
      <c r="B75" s="0" t="s">
        <v>75</v>
      </c>
      <c r="C75" s="0" t="n">
        <v>40.2258064516129</v>
      </c>
    </row>
    <row r="76" customFormat="false" ht="12.8" hidden="false" customHeight="false" outlineLevel="0" collapsed="false">
      <c r="A76" s="0" t="n">
        <v>74</v>
      </c>
      <c r="B76" s="0" t="s">
        <v>76</v>
      </c>
      <c r="C76" s="0" t="n">
        <v>87.4042553191489</v>
      </c>
    </row>
    <row r="77" customFormat="false" ht="12.8" hidden="false" customHeight="false" outlineLevel="0" collapsed="false">
      <c r="A77" s="0" t="n">
        <v>75</v>
      </c>
      <c r="B77" s="0" t="s">
        <v>77</v>
      </c>
      <c r="C77" s="0" t="n">
        <v>62.0040858018386</v>
      </c>
    </row>
    <row r="78" customFormat="false" ht="12.8" hidden="false" customHeight="false" outlineLevel="0" collapsed="false">
      <c r="A78" s="0" t="n">
        <v>76</v>
      </c>
      <c r="B78" s="0" t="s">
        <v>78</v>
      </c>
      <c r="C78" s="0" t="n">
        <v>90.6666666666667</v>
      </c>
    </row>
    <row r="79" customFormat="false" ht="12.8" hidden="false" customHeight="false" outlineLevel="0" collapsed="false">
      <c r="A79" s="0" t="n">
        <v>77</v>
      </c>
      <c r="B79" s="0" t="s">
        <v>79</v>
      </c>
      <c r="C79" s="0" t="n">
        <v>51.7236467236467</v>
      </c>
    </row>
    <row r="80" customFormat="false" ht="12.8" hidden="false" customHeight="false" outlineLevel="0" collapsed="false">
      <c r="A80" s="0" t="n">
        <v>78</v>
      </c>
      <c r="B80" s="0" t="s">
        <v>80</v>
      </c>
      <c r="C80" s="0" t="n">
        <v>96.8333333333333</v>
      </c>
    </row>
    <row r="81" customFormat="false" ht="12.8" hidden="false" customHeight="false" outlineLevel="0" collapsed="false">
      <c r="A81" s="0" t="n">
        <v>79</v>
      </c>
      <c r="B81" s="0" t="s">
        <v>81</v>
      </c>
      <c r="C81" s="0" t="n">
        <v>61.2112676056338</v>
      </c>
    </row>
    <row r="82" customFormat="false" ht="12.8" hidden="false" customHeight="false" outlineLevel="0" collapsed="false">
      <c r="A82" s="0" t="n">
        <v>80</v>
      </c>
      <c r="B82" s="0" t="s">
        <v>82</v>
      </c>
      <c r="C82" s="0" t="n">
        <v>74.1666666666667</v>
      </c>
    </row>
    <row r="83" customFormat="false" ht="12.8" hidden="false" customHeight="false" outlineLevel="0" collapsed="false">
      <c r="A83" s="0" t="n">
        <v>81</v>
      </c>
      <c r="B83" s="0" t="s">
        <v>83</v>
      </c>
      <c r="C83" s="0" t="n">
        <v>119.333333333333</v>
      </c>
    </row>
    <row r="84" customFormat="false" ht="12.8" hidden="false" customHeight="false" outlineLevel="0" collapsed="false">
      <c r="A84" s="0" t="n">
        <v>82</v>
      </c>
      <c r="B84" s="0" t="s">
        <v>84</v>
      </c>
      <c r="C84" s="0" t="n">
        <v>162</v>
      </c>
    </row>
    <row r="85" customFormat="false" ht="12.8" hidden="false" customHeight="false" outlineLevel="0" collapsed="false">
      <c r="A85" s="0" t="n">
        <v>83</v>
      </c>
      <c r="B85" s="0" t="s">
        <v>85</v>
      </c>
      <c r="C85" s="0" t="n">
        <v>81.5384615384615</v>
      </c>
    </row>
    <row r="86" customFormat="false" ht="12.8" hidden="false" customHeight="false" outlineLevel="0" collapsed="false">
      <c r="A86" s="0" t="n">
        <v>84</v>
      </c>
      <c r="B86" s="0" t="s">
        <v>86</v>
      </c>
      <c r="C86" s="0" t="n">
        <v>43.5</v>
      </c>
    </row>
    <row r="87" customFormat="false" ht="12.8" hidden="false" customHeight="false" outlineLevel="0" collapsed="false">
      <c r="A87" s="0" t="n">
        <v>85</v>
      </c>
      <c r="B87" s="0" t="s">
        <v>87</v>
      </c>
      <c r="C87" s="0" t="n">
        <v>39.9090909090909</v>
      </c>
    </row>
    <row r="88" customFormat="false" ht="12.8" hidden="false" customHeight="false" outlineLevel="0" collapsed="false">
      <c r="A88" s="0" t="n">
        <v>86</v>
      </c>
      <c r="B88" s="0" t="s">
        <v>88</v>
      </c>
      <c r="C88" s="0" t="n">
        <v>72</v>
      </c>
    </row>
    <row r="89" customFormat="false" ht="12.8" hidden="false" customHeight="false" outlineLevel="0" collapsed="false">
      <c r="A89" s="0" t="n">
        <v>87</v>
      </c>
      <c r="B89" s="0" t="s">
        <v>89</v>
      </c>
      <c r="C89" s="0" t="n">
        <v>89.6</v>
      </c>
    </row>
    <row r="90" customFormat="false" ht="12.8" hidden="false" customHeight="false" outlineLevel="0" collapsed="false">
      <c r="A90" s="0" t="n">
        <v>88</v>
      </c>
      <c r="B90" s="0" t="s">
        <v>90</v>
      </c>
      <c r="C90" s="0" t="n">
        <v>38</v>
      </c>
    </row>
    <row r="91" customFormat="false" ht="12.8" hidden="false" customHeight="false" outlineLevel="0" collapsed="false">
      <c r="A91" s="0" t="n">
        <v>89</v>
      </c>
      <c r="B91" s="0" t="s">
        <v>91</v>
      </c>
      <c r="C91" s="0" t="n">
        <v>105.4</v>
      </c>
    </row>
    <row r="92" customFormat="false" ht="12.8" hidden="false" customHeight="false" outlineLevel="0" collapsed="false">
      <c r="A92" s="0" t="n">
        <v>90</v>
      </c>
      <c r="B92" s="0" t="s">
        <v>92</v>
      </c>
      <c r="C92" s="0" t="n">
        <v>38.1315789473684</v>
      </c>
    </row>
    <row r="93" customFormat="false" ht="12.8" hidden="false" customHeight="false" outlineLevel="0" collapsed="false">
      <c r="A93" s="0" t="n">
        <v>91</v>
      </c>
      <c r="B93" s="0" t="s">
        <v>93</v>
      </c>
      <c r="C93" s="0" t="n">
        <v>44.5</v>
      </c>
    </row>
    <row r="94" customFormat="false" ht="12.8" hidden="false" customHeight="false" outlineLevel="0" collapsed="false">
      <c r="A94" s="0" t="n">
        <v>92</v>
      </c>
      <c r="B94" s="0" t="s">
        <v>94</v>
      </c>
      <c r="C94" s="0" t="n">
        <v>30.9538461538462</v>
      </c>
    </row>
    <row r="95" customFormat="false" ht="12.8" hidden="false" customHeight="false" outlineLevel="0" collapsed="false">
      <c r="A95" s="0" t="n">
        <v>93</v>
      </c>
      <c r="B95" s="0" t="s">
        <v>95</v>
      </c>
      <c r="C95" s="0" t="n">
        <v>47.3333333333333</v>
      </c>
    </row>
    <row r="96" customFormat="false" ht="12.8" hidden="false" customHeight="false" outlineLevel="0" collapsed="false">
      <c r="A96" s="0" t="n">
        <v>94</v>
      </c>
      <c r="B96" s="0" t="s">
        <v>96</v>
      </c>
      <c r="C96" s="0" t="n">
        <v>81.616</v>
      </c>
    </row>
    <row r="97" customFormat="false" ht="12.8" hidden="false" customHeight="false" outlineLevel="0" collapsed="false">
      <c r="A97" s="0" t="n">
        <v>95</v>
      </c>
      <c r="B97" s="0" t="s">
        <v>97</v>
      </c>
      <c r="C97" s="0" t="n">
        <v>19</v>
      </c>
    </row>
    <row r="98" customFormat="false" ht="12.8" hidden="false" customHeight="false" outlineLevel="0" collapsed="false">
      <c r="A98" s="0" t="n">
        <v>96</v>
      </c>
      <c r="B98" s="0" t="s">
        <v>98</v>
      </c>
      <c r="C98" s="0" t="n">
        <v>83.16</v>
      </c>
    </row>
    <row r="99" customFormat="false" ht="12.8" hidden="false" customHeight="false" outlineLevel="0" collapsed="false">
      <c r="A99" s="0" t="n">
        <v>97</v>
      </c>
      <c r="B99" s="0" t="s">
        <v>99</v>
      </c>
      <c r="C99" s="0" t="n">
        <v>51.3636363636364</v>
      </c>
    </row>
    <row r="100" customFormat="false" ht="12.8" hidden="false" customHeight="false" outlineLevel="0" collapsed="false">
      <c r="A100" s="0" t="n">
        <v>98</v>
      </c>
      <c r="B100" s="0" t="s">
        <v>100</v>
      </c>
      <c r="C100" s="0" t="n">
        <v>179</v>
      </c>
    </row>
    <row r="101" customFormat="false" ht="12.8" hidden="false" customHeight="false" outlineLevel="0" collapsed="false">
      <c r="A101" s="0" t="n">
        <v>99</v>
      </c>
      <c r="B101" s="0" t="s">
        <v>101</v>
      </c>
      <c r="C101" s="0" t="n">
        <v>41</v>
      </c>
    </row>
    <row r="102" customFormat="false" ht="12.8" hidden="false" customHeight="false" outlineLevel="0" collapsed="false">
      <c r="A102" s="0" t="n">
        <v>100</v>
      </c>
      <c r="B102" s="0" t="s">
        <v>102</v>
      </c>
      <c r="C102" s="0" t="n">
        <v>89.6166950596252</v>
      </c>
    </row>
    <row r="103" customFormat="false" ht="12.8" hidden="false" customHeight="false" outlineLevel="0" collapsed="false">
      <c r="A103" s="0" t="n">
        <v>101</v>
      </c>
      <c r="B103" s="0" t="s">
        <v>103</v>
      </c>
      <c r="C103" s="0" t="n">
        <v>56</v>
      </c>
    </row>
    <row r="104" customFormat="false" ht="12.8" hidden="false" customHeight="false" outlineLevel="0" collapsed="false">
      <c r="A104" s="0" t="n">
        <v>102</v>
      </c>
      <c r="B104" s="0" t="s">
        <v>104</v>
      </c>
      <c r="C104" s="0" t="n">
        <v>53.4</v>
      </c>
    </row>
    <row r="105" customFormat="false" ht="12.8" hidden="false" customHeight="false" outlineLevel="0" collapsed="false">
      <c r="A105" s="0" t="n">
        <v>103</v>
      </c>
      <c r="B105" s="0" t="s">
        <v>105</v>
      </c>
      <c r="C105" s="0" t="n">
        <v>64.75</v>
      </c>
    </row>
    <row r="106" customFormat="false" ht="12.8" hidden="false" customHeight="false" outlineLevel="0" collapsed="false">
      <c r="A106" s="0" t="n">
        <v>104</v>
      </c>
      <c r="B106" s="0" t="s">
        <v>106</v>
      </c>
      <c r="C106" s="0" t="n">
        <v>45.3684210526316</v>
      </c>
    </row>
    <row r="107" customFormat="false" ht="12.8" hidden="false" customHeight="false" outlineLevel="0" collapsed="false">
      <c r="A107" s="0" t="n">
        <v>105</v>
      </c>
      <c r="B107" s="0" t="s">
        <v>107</v>
      </c>
      <c r="C107" s="0" t="n">
        <v>36.8260869565217</v>
      </c>
    </row>
    <row r="108" customFormat="false" ht="12.8" hidden="false" customHeight="false" outlineLevel="0" collapsed="false">
      <c r="A108" s="0" t="n">
        <v>106</v>
      </c>
      <c r="B108" s="0" t="s">
        <v>108</v>
      </c>
      <c r="C108" s="0" t="n">
        <v>40.1694915254237</v>
      </c>
    </row>
    <row r="109" customFormat="false" ht="12.8" hidden="false" customHeight="false" outlineLevel="0" collapsed="false">
      <c r="A109" s="0" t="n">
        <v>107</v>
      </c>
      <c r="B109" s="0" t="s">
        <v>109</v>
      </c>
      <c r="C109" s="0" t="n">
        <v>76.8823529411765</v>
      </c>
    </row>
    <row r="110" customFormat="false" ht="12.8" hidden="false" customHeight="false" outlineLevel="0" collapsed="false">
      <c r="A110" s="0" t="n">
        <v>108</v>
      </c>
      <c r="B110" s="0" t="s">
        <v>110</v>
      </c>
      <c r="C110" s="0" t="n">
        <v>116.363636363636</v>
      </c>
    </row>
    <row r="111" customFormat="false" ht="12.8" hidden="false" customHeight="false" outlineLevel="0" collapsed="false">
      <c r="A111" s="0" t="n">
        <v>109</v>
      </c>
      <c r="B111" s="0" t="s">
        <v>111</v>
      </c>
      <c r="C111" s="0" t="n">
        <v>38.1375838926175</v>
      </c>
    </row>
    <row r="112" customFormat="false" ht="12.8" hidden="false" customHeight="false" outlineLevel="0" collapsed="false">
      <c r="A112" s="0" t="n">
        <v>110</v>
      </c>
      <c r="B112" s="0" t="s">
        <v>112</v>
      </c>
      <c r="C112" s="0" t="n">
        <v>30.7272727272727</v>
      </c>
    </row>
    <row r="113" customFormat="false" ht="12.8" hidden="false" customHeight="false" outlineLevel="0" collapsed="false">
      <c r="A113" s="0" t="n">
        <v>111</v>
      </c>
      <c r="B113" s="0" t="s">
        <v>113</v>
      </c>
      <c r="C113" s="0" t="n">
        <v>47.972972972973</v>
      </c>
    </row>
    <row r="114" customFormat="false" ht="12.8" hidden="false" customHeight="false" outlineLevel="0" collapsed="false">
      <c r="A114" s="0" t="n">
        <v>112</v>
      </c>
      <c r="B114" s="0" t="s">
        <v>114</v>
      </c>
      <c r="C114" s="0" t="n">
        <v>75.6896551724138</v>
      </c>
    </row>
    <row r="115" customFormat="false" ht="12.8" hidden="false" customHeight="false" outlineLevel="0" collapsed="false">
      <c r="A115" s="0" t="n">
        <v>113</v>
      </c>
      <c r="B115" s="0" t="s">
        <v>115</v>
      </c>
      <c r="C115" s="0" t="n">
        <v>99.6111111111111</v>
      </c>
    </row>
    <row r="116" customFormat="false" ht="12.8" hidden="false" customHeight="false" outlineLevel="0" collapsed="false">
      <c r="A116" s="0" t="n">
        <v>114</v>
      </c>
      <c r="B116" s="0" t="s">
        <v>116</v>
      </c>
      <c r="C116" s="0" t="n">
        <v>35.4761904761905</v>
      </c>
    </row>
    <row r="117" customFormat="false" ht="12.8" hidden="false" customHeight="false" outlineLevel="0" collapsed="false">
      <c r="A117" s="0" t="n">
        <v>115</v>
      </c>
      <c r="B117" s="0" t="s">
        <v>117</v>
      </c>
      <c r="C117" s="0" t="n">
        <v>137.5</v>
      </c>
    </row>
    <row r="118" customFormat="false" ht="12.8" hidden="false" customHeight="false" outlineLevel="0" collapsed="false">
      <c r="A118" s="0" t="n">
        <v>116</v>
      </c>
      <c r="B118" s="0" t="s">
        <v>118</v>
      </c>
      <c r="C118" s="0" t="n">
        <v>178.788273615635</v>
      </c>
    </row>
    <row r="119" customFormat="false" ht="12.8" hidden="false" customHeight="false" outlineLevel="0" collapsed="false">
      <c r="A119" s="0" t="n">
        <v>117</v>
      </c>
      <c r="B119" s="0" t="s">
        <v>119</v>
      </c>
      <c r="C119" s="0" t="n">
        <v>16</v>
      </c>
    </row>
    <row r="120" customFormat="false" ht="12.8" hidden="false" customHeight="false" outlineLevel="0" collapsed="false">
      <c r="A120" s="0" t="n">
        <v>118</v>
      </c>
      <c r="B120" s="0" t="s">
        <v>120</v>
      </c>
      <c r="C120" s="0" t="n">
        <v>68.4444444444444</v>
      </c>
    </row>
    <row r="121" customFormat="false" ht="12.8" hidden="false" customHeight="false" outlineLevel="0" collapsed="false">
      <c r="A121" s="0" t="n">
        <v>119</v>
      </c>
      <c r="B121" s="0" t="s">
        <v>121</v>
      </c>
      <c r="C121" s="0" t="n">
        <v>24.8666666666667</v>
      </c>
    </row>
    <row r="122" customFormat="false" ht="12.8" hidden="false" customHeight="false" outlineLevel="0" collapsed="false">
      <c r="A122" s="0" t="n">
        <v>120</v>
      </c>
      <c r="B122" s="0" t="s">
        <v>122</v>
      </c>
      <c r="C122" s="0" t="n">
        <v>42.7692307692308</v>
      </c>
    </row>
    <row r="123" customFormat="false" ht="12.8" hidden="false" customHeight="false" outlineLevel="0" collapsed="false">
      <c r="A123" s="0" t="n">
        <v>121</v>
      </c>
      <c r="B123" s="0" t="s">
        <v>123</v>
      </c>
      <c r="C123" s="0" t="n">
        <v>36.4296875</v>
      </c>
    </row>
    <row r="124" customFormat="false" ht="12.8" hidden="false" customHeight="false" outlineLevel="0" collapsed="false">
      <c r="A124" s="0" t="n">
        <v>122</v>
      </c>
      <c r="B124" s="0" t="s">
        <v>124</v>
      </c>
      <c r="C124" s="0" t="n">
        <v>61.1958456973294</v>
      </c>
    </row>
    <row r="125" customFormat="false" ht="12.8" hidden="false" customHeight="false" outlineLevel="0" collapsed="false">
      <c r="A125" s="0" t="n">
        <v>123</v>
      </c>
      <c r="B125" s="0" t="s">
        <v>125</v>
      </c>
      <c r="C125" s="0" t="n">
        <v>52.4601542416452</v>
      </c>
    </row>
    <row r="126" customFormat="false" ht="12.8" hidden="false" customHeight="false" outlineLevel="0" collapsed="false">
      <c r="A126" s="0" t="n">
        <v>124</v>
      </c>
      <c r="B126" s="0" t="s">
        <v>126</v>
      </c>
      <c r="C126" s="0" t="n">
        <v>34.6078431372549</v>
      </c>
    </row>
    <row r="127" customFormat="false" ht="12.8" hidden="false" customHeight="false" outlineLevel="0" collapsed="false">
      <c r="A127" s="0" t="n">
        <v>125</v>
      </c>
      <c r="B127" s="0" t="s">
        <v>127</v>
      </c>
      <c r="C127" s="0" t="n">
        <v>157.5</v>
      </c>
    </row>
    <row r="128" customFormat="false" ht="12.8" hidden="false" customHeight="false" outlineLevel="0" collapsed="false">
      <c r="A128" s="0" t="n">
        <v>126</v>
      </c>
      <c r="B128" s="0" t="s">
        <v>128</v>
      </c>
      <c r="C128" s="0" t="n">
        <v>421</v>
      </c>
    </row>
    <row r="129" customFormat="false" ht="12.8" hidden="false" customHeight="false" outlineLevel="0" collapsed="false">
      <c r="A129" s="0" t="n">
        <v>127</v>
      </c>
      <c r="B129" s="0" t="s">
        <v>129</v>
      </c>
      <c r="C129" s="0" t="n">
        <v>52.9642857142857</v>
      </c>
    </row>
    <row r="130" customFormat="false" ht="12.8" hidden="false" customHeight="false" outlineLevel="0" collapsed="false">
      <c r="A130" s="0" t="n">
        <v>128</v>
      </c>
      <c r="B130" s="0" t="s">
        <v>130</v>
      </c>
      <c r="C130" s="0" t="n">
        <v>66.7826086956522</v>
      </c>
    </row>
    <row r="131" customFormat="false" ht="12.8" hidden="false" customHeight="false" outlineLevel="0" collapsed="false">
      <c r="A131" s="0" t="n">
        <v>129</v>
      </c>
      <c r="B131" s="0" t="s">
        <v>131</v>
      </c>
      <c r="C131" s="0" t="n">
        <v>53.9336492890995</v>
      </c>
    </row>
    <row r="132" customFormat="false" ht="12.8" hidden="false" customHeight="false" outlineLevel="0" collapsed="false">
      <c r="A132" s="0" t="n">
        <v>130</v>
      </c>
      <c r="B132" s="0" t="s">
        <v>132</v>
      </c>
      <c r="C132" s="0" t="n">
        <v>42.5068493150685</v>
      </c>
    </row>
    <row r="133" customFormat="false" ht="12.8" hidden="false" customHeight="false" outlineLevel="0" collapsed="false">
      <c r="A133" s="0" t="n">
        <v>131</v>
      </c>
      <c r="B133" s="0" t="s">
        <v>133</v>
      </c>
      <c r="C133" s="0" t="n">
        <v>93.5384615384615</v>
      </c>
    </row>
    <row r="134" customFormat="false" ht="12.8" hidden="false" customHeight="false" outlineLevel="0" collapsed="false">
      <c r="A134" s="0" t="n">
        <v>132</v>
      </c>
      <c r="B134" s="0" t="s">
        <v>134</v>
      </c>
      <c r="C134" s="0" t="n">
        <v>90</v>
      </c>
    </row>
    <row r="135" customFormat="false" ht="12.8" hidden="false" customHeight="false" outlineLevel="0" collapsed="false">
      <c r="A135" s="0" t="n">
        <v>133</v>
      </c>
      <c r="B135" s="0" t="s">
        <v>135</v>
      </c>
      <c r="C135" s="0" t="n">
        <v>79</v>
      </c>
    </row>
    <row r="136" customFormat="false" ht="12.8" hidden="false" customHeight="false" outlineLevel="0" collapsed="false">
      <c r="A136" s="0" t="n">
        <v>134</v>
      </c>
      <c r="B136" s="0" t="s">
        <v>136</v>
      </c>
      <c r="C136" s="0" t="n">
        <v>149.285714285714</v>
      </c>
    </row>
    <row r="137" customFormat="false" ht="12.8" hidden="false" customHeight="false" outlineLevel="0" collapsed="false">
      <c r="A137" s="0" t="n">
        <v>135</v>
      </c>
      <c r="B137" s="0" t="s">
        <v>137</v>
      </c>
      <c r="C137" s="0" t="n">
        <v>152.424242424242</v>
      </c>
    </row>
    <row r="138" customFormat="false" ht="12.8" hidden="false" customHeight="false" outlineLevel="0" collapsed="false">
      <c r="A138" s="0" t="n">
        <v>136</v>
      </c>
      <c r="B138" s="0" t="s">
        <v>138</v>
      </c>
      <c r="C138" s="0" t="n">
        <v>67.9887640449438</v>
      </c>
    </row>
    <row r="139" customFormat="false" ht="12.8" hidden="false" customHeight="false" outlineLevel="0" collapsed="false">
      <c r="A139" s="0" t="n">
        <v>137</v>
      </c>
      <c r="B139" s="0" t="s">
        <v>139</v>
      </c>
      <c r="C139" s="0" t="n">
        <v>26</v>
      </c>
    </row>
    <row r="140" customFormat="false" ht="12.8" hidden="false" customHeight="false" outlineLevel="0" collapsed="false">
      <c r="A140" s="0" t="n">
        <v>138</v>
      </c>
      <c r="B140" s="0" t="s">
        <v>140</v>
      </c>
      <c r="C140" s="0" t="n">
        <v>44.2</v>
      </c>
    </row>
    <row r="141" customFormat="false" ht="12.8" hidden="false" customHeight="false" outlineLevel="0" collapsed="false">
      <c r="A141" s="0" t="n">
        <v>139</v>
      </c>
      <c r="B141" s="0" t="s">
        <v>141</v>
      </c>
      <c r="C141" s="0" t="n">
        <v>91</v>
      </c>
    </row>
    <row r="142" customFormat="false" ht="12.8" hidden="false" customHeight="false" outlineLevel="0" collapsed="false">
      <c r="A142" s="0" t="n">
        <v>140</v>
      </c>
      <c r="B142" s="0" t="s">
        <v>142</v>
      </c>
      <c r="C142" s="0" t="n">
        <v>67.5322580645161</v>
      </c>
    </row>
    <row r="143" customFormat="false" ht="12.8" hidden="false" customHeight="false" outlineLevel="0" collapsed="false">
      <c r="A143" s="0" t="n">
        <v>141</v>
      </c>
      <c r="B143" s="0" t="s">
        <v>143</v>
      </c>
      <c r="C143" s="0" t="n">
        <v>70.875</v>
      </c>
    </row>
    <row r="144" customFormat="false" ht="12.8" hidden="false" customHeight="false" outlineLevel="0" collapsed="false">
      <c r="A144" s="0" t="n">
        <v>142</v>
      </c>
      <c r="B144" s="0" t="s">
        <v>144</v>
      </c>
      <c r="C144" s="0" t="n">
        <v>18</v>
      </c>
    </row>
    <row r="145" customFormat="false" ht="12.8" hidden="false" customHeight="false" outlineLevel="0" collapsed="false">
      <c r="A145" s="0" t="n">
        <v>143</v>
      </c>
      <c r="B145" s="0" t="s">
        <v>145</v>
      </c>
      <c r="C145" s="0" t="n">
        <v>72.0555555555556</v>
      </c>
    </row>
    <row r="146" customFormat="false" ht="12.8" hidden="false" customHeight="false" outlineLevel="0" collapsed="false">
      <c r="A146" s="0" t="n">
        <v>144</v>
      </c>
      <c r="B146" s="0" t="s">
        <v>146</v>
      </c>
      <c r="C146" s="0" t="n">
        <v>113.040229885057</v>
      </c>
    </row>
    <row r="147" customFormat="false" ht="12.8" hidden="false" customHeight="false" outlineLevel="0" collapsed="false">
      <c r="A147" s="0" t="n">
        <v>145</v>
      </c>
      <c r="B147" s="0" t="s">
        <v>147</v>
      </c>
      <c r="C147" s="0" t="n">
        <v>60.3333333333333</v>
      </c>
    </row>
    <row r="148" customFormat="false" ht="12.8" hidden="false" customHeight="false" outlineLevel="0" collapsed="false">
      <c r="A148" s="0" t="n">
        <v>146</v>
      </c>
      <c r="B148" s="0" t="s">
        <v>148</v>
      </c>
      <c r="C148" s="0" t="n">
        <v>38.4564705882353</v>
      </c>
    </row>
    <row r="149" customFormat="false" ht="12.8" hidden="false" customHeight="false" outlineLevel="0" collapsed="false">
      <c r="A149" s="0" t="n">
        <v>147</v>
      </c>
      <c r="B149" s="0" t="s">
        <v>149</v>
      </c>
      <c r="C149" s="0" t="n">
        <v>63.5217391304348</v>
      </c>
    </row>
    <row r="150" customFormat="false" ht="12.8" hidden="false" customHeight="false" outlineLevel="0" collapsed="false">
      <c r="A150" s="0" t="n">
        <v>148</v>
      </c>
      <c r="B150" s="0" t="s">
        <v>150</v>
      </c>
      <c r="C150" s="0" t="n">
        <v>86</v>
      </c>
    </row>
    <row r="151" customFormat="false" ht="12.8" hidden="false" customHeight="false" outlineLevel="0" collapsed="false">
      <c r="A151" s="0" t="n">
        <v>149</v>
      </c>
      <c r="B151" s="0" t="s">
        <v>151</v>
      </c>
      <c r="C151" s="0" t="n">
        <v>78.8571428571429</v>
      </c>
    </row>
    <row r="152" customFormat="false" ht="12.8" hidden="false" customHeight="false" outlineLevel="0" collapsed="false">
      <c r="A152" s="0" t="n">
        <v>150</v>
      </c>
      <c r="B152" s="0" t="s">
        <v>152</v>
      </c>
      <c r="C152" s="0" t="n">
        <v>43.3333333333333</v>
      </c>
    </row>
    <row r="153" customFormat="false" ht="12.8" hidden="false" customHeight="false" outlineLevel="0" collapsed="false">
      <c r="A153" s="0" t="n">
        <v>151</v>
      </c>
      <c r="B153" s="0" t="s">
        <v>153</v>
      </c>
      <c r="C153" s="0" t="n">
        <v>36.1649484536083</v>
      </c>
    </row>
    <row r="154" customFormat="false" ht="12.8" hidden="false" customHeight="false" outlineLevel="0" collapsed="false">
      <c r="A154" s="0" t="n">
        <v>152</v>
      </c>
      <c r="B154" s="0" t="s">
        <v>154</v>
      </c>
      <c r="C154" s="0" t="n">
        <v>55.2155172413793</v>
      </c>
    </row>
    <row r="155" customFormat="false" ht="12.8" hidden="false" customHeight="false" outlineLevel="0" collapsed="false">
      <c r="A155" s="0" t="n">
        <v>153</v>
      </c>
      <c r="B155" s="0" t="s">
        <v>155</v>
      </c>
      <c r="C155" s="0" t="n">
        <v>86.9333333333333</v>
      </c>
    </row>
    <row r="156" customFormat="false" ht="12.8" hidden="false" customHeight="false" outlineLevel="0" collapsed="false">
      <c r="A156" s="0" t="n">
        <v>154</v>
      </c>
      <c r="B156" s="0" t="s">
        <v>156</v>
      </c>
      <c r="C156" s="0" t="n">
        <v>115.206896551724</v>
      </c>
    </row>
    <row r="157" customFormat="false" ht="12.8" hidden="false" customHeight="false" outlineLevel="0" collapsed="false">
      <c r="A157" s="0" t="n">
        <v>155</v>
      </c>
      <c r="B157" s="0" t="s">
        <v>157</v>
      </c>
      <c r="C157" s="0" t="n">
        <v>53.5813008130081</v>
      </c>
    </row>
    <row r="158" customFormat="false" ht="12.8" hidden="false" customHeight="false" outlineLevel="0" collapsed="false">
      <c r="A158" s="0" t="n">
        <v>156</v>
      </c>
      <c r="B158" s="0" t="s">
        <v>158</v>
      </c>
      <c r="C158" s="0" t="n">
        <v>65.1578947368421</v>
      </c>
    </row>
    <row r="159" customFormat="false" ht="12.8" hidden="false" customHeight="false" outlineLevel="0" collapsed="false">
      <c r="A159" s="0" t="n">
        <v>157</v>
      </c>
      <c r="B159" s="0" t="s">
        <v>159</v>
      </c>
      <c r="C159" s="0" t="n">
        <v>94.5</v>
      </c>
    </row>
    <row r="160" customFormat="false" ht="12.8" hidden="false" customHeight="false" outlineLevel="0" collapsed="false">
      <c r="A160" s="0" t="n">
        <v>158</v>
      </c>
      <c r="B160" s="0" t="s">
        <v>160</v>
      </c>
      <c r="C160" s="0" t="n">
        <v>70.9090909090909</v>
      </c>
    </row>
    <row r="161" customFormat="false" ht="12.8" hidden="false" customHeight="false" outlineLevel="0" collapsed="false">
      <c r="A161" s="0" t="n">
        <v>159</v>
      </c>
      <c r="B161" s="0" t="s">
        <v>161</v>
      </c>
      <c r="C161" s="0" t="n">
        <v>51.6680497925311</v>
      </c>
    </row>
    <row r="162" customFormat="false" ht="12.8" hidden="false" customHeight="false" outlineLevel="0" collapsed="false">
      <c r="A162" s="0" t="n">
        <v>160</v>
      </c>
      <c r="B162" s="0" t="s">
        <v>162</v>
      </c>
      <c r="C162" s="0" t="n">
        <v>104.722222222222</v>
      </c>
    </row>
    <row r="163" customFormat="false" ht="12.8" hidden="false" customHeight="false" outlineLevel="0" collapsed="false">
      <c r="A163" s="0" t="n">
        <v>161</v>
      </c>
      <c r="B163" s="0" t="s">
        <v>163</v>
      </c>
      <c r="C163" s="0" t="n">
        <v>85.3174603174603</v>
      </c>
    </row>
    <row r="164" customFormat="false" ht="12.8" hidden="false" customHeight="false" outlineLevel="0" collapsed="false">
      <c r="A164" s="0" t="n">
        <v>162</v>
      </c>
      <c r="B164" s="0" t="s">
        <v>164</v>
      </c>
      <c r="C164" s="0" t="n">
        <v>51.0547945205479</v>
      </c>
    </row>
    <row r="165" customFormat="false" ht="12.8" hidden="false" customHeight="false" outlineLevel="0" collapsed="false">
      <c r="A165" s="0" t="n">
        <v>163</v>
      </c>
      <c r="B165" s="0" t="s">
        <v>165</v>
      </c>
      <c r="C165" s="0" t="n">
        <v>163.666666666667</v>
      </c>
    </row>
    <row r="166" customFormat="false" ht="12.8" hidden="false" customHeight="false" outlineLevel="0" collapsed="false">
      <c r="A166" s="0" t="n">
        <v>164</v>
      </c>
      <c r="B166" s="0" t="s">
        <v>166</v>
      </c>
      <c r="C166" s="0" t="n">
        <v>39.515</v>
      </c>
    </row>
    <row r="167" customFormat="false" ht="12.8" hidden="false" customHeight="false" outlineLevel="0" collapsed="false">
      <c r="A167" s="0" t="n">
        <v>165</v>
      </c>
      <c r="B167" s="0" t="s">
        <v>167</v>
      </c>
      <c r="C167" s="0" t="n">
        <v>31.6331877729258</v>
      </c>
    </row>
    <row r="168" customFormat="false" ht="12.8" hidden="false" customHeight="false" outlineLevel="0" collapsed="false">
      <c r="A168" s="0" t="n">
        <v>166</v>
      </c>
      <c r="B168" s="0" t="s">
        <v>168</v>
      </c>
      <c r="C168" s="0" t="n">
        <v>59.7405988857939</v>
      </c>
    </row>
    <row r="169" customFormat="false" ht="12.8" hidden="false" customHeight="false" outlineLevel="0" collapsed="false">
      <c r="A169" s="0" t="n">
        <v>167</v>
      </c>
      <c r="B169" s="0" t="s">
        <v>169</v>
      </c>
      <c r="C169" s="0" t="n">
        <v>26.6538461538462</v>
      </c>
    </row>
    <row r="170" customFormat="false" ht="12.8" hidden="false" customHeight="false" outlineLevel="0" collapsed="false">
      <c r="A170" s="0" t="n">
        <v>168</v>
      </c>
      <c r="B170" s="0" t="s">
        <v>170</v>
      </c>
      <c r="C170" s="0" t="n">
        <v>119.086206896552</v>
      </c>
    </row>
    <row r="171" customFormat="false" ht="12.8" hidden="false" customHeight="false" outlineLevel="0" collapsed="false">
      <c r="A171" s="0" t="n">
        <v>169</v>
      </c>
      <c r="B171" s="0" t="s">
        <v>171</v>
      </c>
      <c r="C171" s="0" t="n">
        <v>30</v>
      </c>
    </row>
    <row r="172" customFormat="false" ht="12.8" hidden="false" customHeight="false" outlineLevel="0" collapsed="false">
      <c r="A172" s="0" t="n">
        <v>170</v>
      </c>
      <c r="B172" s="0" t="s">
        <v>172</v>
      </c>
      <c r="C172" s="0" t="n">
        <v>77.7222222222222</v>
      </c>
    </row>
    <row r="173" customFormat="false" ht="12.8" hidden="false" customHeight="false" outlineLevel="0" collapsed="false">
      <c r="A173" s="0" t="n">
        <v>171</v>
      </c>
      <c r="B173" s="0" t="s">
        <v>173</v>
      </c>
      <c r="C173" s="0" t="n">
        <v>87.05</v>
      </c>
    </row>
    <row r="174" customFormat="false" ht="12.8" hidden="false" customHeight="false" outlineLevel="0" collapsed="false">
      <c r="A174" s="0" t="n">
        <v>172</v>
      </c>
      <c r="B174" s="0" t="s">
        <v>174</v>
      </c>
      <c r="C174" s="0" t="n">
        <v>144.571428571429</v>
      </c>
    </row>
    <row r="175" customFormat="false" ht="12.8" hidden="false" customHeight="false" outlineLevel="0" collapsed="false">
      <c r="A175" s="0" t="n">
        <v>173</v>
      </c>
      <c r="B175" s="0" t="s">
        <v>175</v>
      </c>
      <c r="C175" s="0" t="n">
        <v>40.6666666666667</v>
      </c>
    </row>
    <row r="176" customFormat="false" ht="12.8" hidden="false" customHeight="false" outlineLevel="0" collapsed="false">
      <c r="A176" s="0" t="n">
        <v>174</v>
      </c>
      <c r="B176" s="0" t="s">
        <v>176</v>
      </c>
      <c r="C176" s="0" t="n">
        <v>43.7407407407407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.38"/>
    <col collapsed="false" customWidth="true" hidden="false" outlineLevel="0" max="2" min="2" style="0" width="25.76"/>
    <col collapsed="false" customWidth="true" hidden="false" outlineLevel="0" max="3" min="3" style="0" width="19.3"/>
  </cols>
  <sheetData>
    <row r="1" customFormat="false" ht="12.8" hidden="false" customHeight="false" outlineLevel="0" collapsed="false">
      <c r="B1" s="0" t="s">
        <v>0</v>
      </c>
      <c r="C1" s="0" t="s">
        <v>177</v>
      </c>
    </row>
    <row r="2" customFormat="false" ht="12.8" hidden="false" customHeight="false" outlineLevel="0" collapsed="false">
      <c r="A2" s="0" t="n">
        <v>0</v>
      </c>
      <c r="B2" s="0" t="s">
        <v>178</v>
      </c>
      <c r="C2" s="0" t="n">
        <v>845.844224666667</v>
      </c>
    </row>
    <row r="3" customFormat="false" ht="12.8" hidden="false" customHeight="false" outlineLevel="0" collapsed="false">
      <c r="A3" s="0" t="n">
        <v>1</v>
      </c>
      <c r="B3" s="0" t="s">
        <v>179</v>
      </c>
      <c r="C3" s="0" t="n">
        <v>845.844224666667</v>
      </c>
    </row>
    <row r="4" customFormat="false" ht="12.8" hidden="false" customHeight="false" outlineLevel="0" collapsed="false">
      <c r="A4" s="0" t="n">
        <v>2</v>
      </c>
      <c r="B4" s="0" t="s">
        <v>4</v>
      </c>
      <c r="C4" s="0" t="n">
        <v>4.62279976816667</v>
      </c>
    </row>
    <row r="5" customFormat="false" ht="12.8" hidden="false" customHeight="false" outlineLevel="0" collapsed="false">
      <c r="A5" s="0" t="n">
        <v>3</v>
      </c>
      <c r="B5" s="0" t="s">
        <v>7</v>
      </c>
      <c r="C5" s="0" t="n">
        <v>10.8140027183333</v>
      </c>
    </row>
    <row r="6" customFormat="false" ht="12.8" hidden="false" customHeight="false" outlineLevel="0" collapsed="false">
      <c r="A6" s="0" t="n">
        <v>4</v>
      </c>
      <c r="B6" s="0" t="s">
        <v>180</v>
      </c>
      <c r="C6" s="0" t="n">
        <v>15964.6627766667</v>
      </c>
    </row>
    <row r="7" customFormat="false" ht="12.8" hidden="false" customHeight="false" outlineLevel="0" collapsed="false">
      <c r="A7" s="0" t="n">
        <v>5</v>
      </c>
      <c r="B7" s="0" t="s">
        <v>181</v>
      </c>
      <c r="C7" s="0" t="n">
        <v>15852.0513833333</v>
      </c>
    </row>
    <row r="8" customFormat="false" ht="12.8" hidden="false" customHeight="false" outlineLevel="0" collapsed="false">
      <c r="A8" s="0" t="n">
        <v>6</v>
      </c>
      <c r="B8" s="0" t="s">
        <v>10</v>
      </c>
      <c r="C8" s="0" t="n">
        <v>437.997845666667</v>
      </c>
    </row>
    <row r="9" customFormat="false" ht="12.8" hidden="false" customHeight="false" outlineLevel="0" collapsed="false">
      <c r="A9" s="0" t="n">
        <v>7</v>
      </c>
      <c r="B9" s="0" t="s">
        <v>11</v>
      </c>
      <c r="C9" s="0" t="n">
        <v>42.28628645</v>
      </c>
    </row>
    <row r="10" customFormat="false" ht="12.8" hidden="false" customHeight="false" outlineLevel="0" collapsed="false">
      <c r="A10" s="0" t="n">
        <v>8</v>
      </c>
      <c r="B10" s="0" t="s">
        <v>12</v>
      </c>
      <c r="C10" s="0" t="n">
        <v>0.2025450846875</v>
      </c>
    </row>
    <row r="11" customFormat="false" ht="12.8" hidden="false" customHeight="false" outlineLevel="0" collapsed="false">
      <c r="A11" s="0" t="n">
        <v>9</v>
      </c>
      <c r="B11" s="0" t="s">
        <v>14</v>
      </c>
      <c r="C11" s="0" t="n">
        <v>10.8285913068333</v>
      </c>
    </row>
    <row r="12" customFormat="false" ht="12.8" hidden="false" customHeight="false" outlineLevel="0" collapsed="false">
      <c r="A12" s="0" t="n">
        <v>10</v>
      </c>
      <c r="B12" s="0" t="s">
        <v>16</v>
      </c>
      <c r="C12" s="0" t="n">
        <v>13.2882504925</v>
      </c>
    </row>
    <row r="13" customFormat="false" ht="12.8" hidden="false" customHeight="false" outlineLevel="0" collapsed="false">
      <c r="A13" s="0" t="n">
        <v>11</v>
      </c>
      <c r="B13" s="0" t="s">
        <v>17</v>
      </c>
      <c r="C13" s="0" t="n">
        <v>94.8566460833333</v>
      </c>
    </row>
    <row r="14" customFormat="false" ht="12.8" hidden="false" customHeight="false" outlineLevel="0" collapsed="false">
      <c r="A14" s="0" t="n">
        <v>12</v>
      </c>
      <c r="B14" s="0" t="s">
        <v>24</v>
      </c>
      <c r="C14" s="0" t="n">
        <v>117.228854416667</v>
      </c>
    </row>
    <row r="15" customFormat="false" ht="12.8" hidden="false" customHeight="false" outlineLevel="0" collapsed="false">
      <c r="A15" s="0" t="n">
        <v>13</v>
      </c>
      <c r="B15" s="0" t="s">
        <v>25</v>
      </c>
      <c r="C15" s="0" t="n">
        <v>86.5692847</v>
      </c>
    </row>
    <row r="16" customFormat="false" ht="12.8" hidden="false" customHeight="false" outlineLevel="0" collapsed="false">
      <c r="A16" s="0" t="n">
        <v>14</v>
      </c>
      <c r="B16" s="0" t="s">
        <v>182</v>
      </c>
      <c r="C16" s="0" t="n">
        <v>2463.01815833333</v>
      </c>
    </row>
    <row r="17" customFormat="false" ht="12.8" hidden="false" customHeight="false" outlineLevel="0" collapsed="false">
      <c r="A17" s="0" t="n">
        <v>15</v>
      </c>
      <c r="B17" s="0" t="s">
        <v>31</v>
      </c>
      <c r="C17" s="0" t="n">
        <v>255.824822916667</v>
      </c>
    </row>
    <row r="18" customFormat="false" ht="12.8" hidden="false" customHeight="false" outlineLevel="0" collapsed="false">
      <c r="A18" s="0" t="n">
        <v>16</v>
      </c>
      <c r="B18" s="0" t="s">
        <v>183</v>
      </c>
      <c r="C18" s="0" t="n">
        <v>4.05705151958333</v>
      </c>
    </row>
    <row r="19" customFormat="false" ht="12.8" hidden="false" customHeight="false" outlineLevel="0" collapsed="false">
      <c r="A19" s="0" t="n">
        <v>17</v>
      </c>
      <c r="B19" s="0" t="s">
        <v>34</v>
      </c>
      <c r="C19" s="0" t="n">
        <v>35.706123675</v>
      </c>
    </row>
    <row r="20" customFormat="false" ht="12.8" hidden="false" customHeight="false" outlineLevel="0" collapsed="false">
      <c r="A20" s="0" t="n">
        <v>18</v>
      </c>
      <c r="B20" s="0" t="s">
        <v>35</v>
      </c>
      <c r="C20" s="0" t="n">
        <v>10624.5337166667</v>
      </c>
    </row>
    <row r="21" customFormat="false" ht="12.8" hidden="false" customHeight="false" outlineLevel="0" collapsed="false">
      <c r="A21" s="0" t="n">
        <v>19</v>
      </c>
      <c r="B21" s="0" t="s">
        <v>36</v>
      </c>
      <c r="C21" s="0" t="n">
        <v>36.6017477</v>
      </c>
    </row>
    <row r="22" customFormat="false" ht="12.8" hidden="false" customHeight="false" outlineLevel="0" collapsed="false">
      <c r="A22" s="0" t="n">
        <v>20</v>
      </c>
      <c r="B22" s="0" t="s">
        <v>40</v>
      </c>
      <c r="C22" s="0" t="n">
        <v>5.58356455142857</v>
      </c>
    </row>
    <row r="23" customFormat="false" ht="12.8" hidden="false" customHeight="false" outlineLevel="0" collapsed="false">
      <c r="A23" s="0" t="n">
        <v>21</v>
      </c>
      <c r="B23" s="0" t="s">
        <v>42</v>
      </c>
      <c r="C23" s="0" t="n">
        <v>0.316314173453333</v>
      </c>
    </row>
    <row r="24" customFormat="false" ht="12.8" hidden="false" customHeight="false" outlineLevel="0" collapsed="false">
      <c r="A24" s="0" t="n">
        <v>22</v>
      </c>
      <c r="B24" s="0" t="s">
        <v>43</v>
      </c>
      <c r="C24" s="0" t="n">
        <v>311.936146733333</v>
      </c>
    </row>
    <row r="25" customFormat="false" ht="12.8" hidden="false" customHeight="false" outlineLevel="0" collapsed="false">
      <c r="A25" s="0" t="n">
        <v>23</v>
      </c>
      <c r="B25" s="0" t="s">
        <v>46</v>
      </c>
      <c r="C25" s="0" t="n">
        <v>47.8579477166667</v>
      </c>
    </row>
    <row r="26" customFormat="false" ht="12.8" hidden="false" customHeight="false" outlineLevel="0" collapsed="false">
      <c r="A26" s="0" t="n">
        <v>24</v>
      </c>
      <c r="B26" s="0" t="s">
        <v>184</v>
      </c>
      <c r="C26" s="0" t="n">
        <v>38.2535323</v>
      </c>
    </row>
    <row r="27" customFormat="false" ht="12.8" hidden="false" customHeight="false" outlineLevel="0" collapsed="false">
      <c r="A27" s="0" t="n">
        <v>25</v>
      </c>
      <c r="B27" s="0" t="s">
        <v>48</v>
      </c>
      <c r="C27" s="0" t="n">
        <v>0.0819752146533333</v>
      </c>
    </row>
    <row r="28" customFormat="false" ht="12.8" hidden="false" customHeight="false" outlineLevel="0" collapsed="false">
      <c r="A28" s="0" t="n">
        <v>26</v>
      </c>
      <c r="B28" s="0" t="s">
        <v>49</v>
      </c>
      <c r="C28" s="0" t="n">
        <v>8.90831682166667</v>
      </c>
    </row>
    <row r="29" customFormat="false" ht="12.8" hidden="false" customHeight="false" outlineLevel="0" collapsed="false">
      <c r="A29" s="0" t="n">
        <v>27</v>
      </c>
      <c r="B29" s="0" t="s">
        <v>53</v>
      </c>
      <c r="C29" s="0" t="n">
        <v>44.7233434</v>
      </c>
    </row>
    <row r="30" customFormat="false" ht="12.8" hidden="false" customHeight="false" outlineLevel="0" collapsed="false">
      <c r="A30" s="0" t="n">
        <v>28</v>
      </c>
      <c r="B30" s="0" t="s">
        <v>185</v>
      </c>
      <c r="C30" s="0" t="n">
        <v>6987.66192833333</v>
      </c>
    </row>
    <row r="31" customFormat="false" ht="12.8" hidden="false" customHeight="false" outlineLevel="0" collapsed="false">
      <c r="A31" s="0" t="n">
        <v>29</v>
      </c>
      <c r="B31" s="0" t="s">
        <v>186</v>
      </c>
      <c r="C31" s="0" t="n">
        <v>5028.89536333333</v>
      </c>
    </row>
    <row r="32" customFormat="false" ht="12.8" hidden="false" customHeight="false" outlineLevel="0" collapsed="false">
      <c r="A32" s="0" t="n">
        <v>30</v>
      </c>
      <c r="B32" s="0" t="s">
        <v>187</v>
      </c>
      <c r="C32" s="0" t="n">
        <v>3690.04877666667</v>
      </c>
    </row>
    <row r="33" customFormat="false" ht="12.8" hidden="false" customHeight="false" outlineLevel="0" collapsed="false">
      <c r="A33" s="0" t="n">
        <v>31</v>
      </c>
      <c r="B33" s="0" t="s">
        <v>55</v>
      </c>
      <c r="C33" s="0" t="n">
        <v>50.3562236333333</v>
      </c>
    </row>
    <row r="34" customFormat="false" ht="12.8" hidden="false" customHeight="false" outlineLevel="0" collapsed="false">
      <c r="A34" s="0" t="n">
        <v>32</v>
      </c>
      <c r="B34" s="0" t="s">
        <v>56</v>
      </c>
      <c r="C34" s="0" t="n">
        <v>229.876851183333</v>
      </c>
    </row>
    <row r="35" customFormat="false" ht="12.8" hidden="false" customHeight="false" outlineLevel="0" collapsed="false">
      <c r="A35" s="0" t="n">
        <v>33</v>
      </c>
      <c r="B35" s="0" t="s">
        <v>60</v>
      </c>
      <c r="C35" s="0" t="n">
        <v>1230.82633966667</v>
      </c>
    </row>
    <row r="36" customFormat="false" ht="12.8" hidden="false" customHeight="false" outlineLevel="0" collapsed="false">
      <c r="A36" s="0" t="n">
        <v>34</v>
      </c>
      <c r="B36" s="0" t="s">
        <v>62</v>
      </c>
      <c r="C36" s="0" t="n">
        <v>69.3457301083333</v>
      </c>
    </row>
    <row r="37" customFormat="false" ht="12.8" hidden="false" customHeight="false" outlineLevel="0" collapsed="false">
      <c r="A37" s="0" t="n">
        <v>35</v>
      </c>
      <c r="B37" s="0" t="s">
        <v>188</v>
      </c>
      <c r="C37" s="0" t="n">
        <v>12349.6159</v>
      </c>
    </row>
    <row r="38" customFormat="false" ht="12.8" hidden="false" customHeight="false" outlineLevel="0" collapsed="false">
      <c r="A38" s="0" t="n">
        <v>36</v>
      </c>
      <c r="B38" s="0" t="s">
        <v>189</v>
      </c>
      <c r="C38" s="0" t="n">
        <v>45.1382382349167</v>
      </c>
    </row>
    <row r="39" customFormat="false" ht="12.8" hidden="false" customHeight="false" outlineLevel="0" collapsed="false">
      <c r="A39" s="0" t="n">
        <v>37</v>
      </c>
      <c r="B39" s="0" t="s">
        <v>69</v>
      </c>
      <c r="C39" s="0" t="n">
        <v>61.7796292166667</v>
      </c>
    </row>
    <row r="40" customFormat="false" ht="12.8" hidden="false" customHeight="false" outlineLevel="0" collapsed="false">
      <c r="A40" s="0" t="n">
        <v>38</v>
      </c>
      <c r="B40" s="0" t="s">
        <v>70</v>
      </c>
      <c r="C40" s="0" t="n">
        <v>0.726027910123333</v>
      </c>
    </row>
    <row r="41" customFormat="false" ht="12.8" hidden="false" customHeight="false" outlineLevel="0" collapsed="false">
      <c r="A41" s="0" t="n">
        <v>39</v>
      </c>
      <c r="B41" s="0" t="s">
        <v>71</v>
      </c>
      <c r="C41" s="0" t="n">
        <v>2120.83348316667</v>
      </c>
    </row>
    <row r="42" customFormat="false" ht="12.8" hidden="false" customHeight="false" outlineLevel="0" collapsed="false">
      <c r="A42" s="0" t="n">
        <v>40</v>
      </c>
      <c r="B42" s="0" t="s">
        <v>72</v>
      </c>
      <c r="C42" s="0" t="n">
        <v>240.098081786833</v>
      </c>
    </row>
    <row r="43" customFormat="false" ht="12.8" hidden="false" customHeight="false" outlineLevel="0" collapsed="false">
      <c r="A43" s="0" t="n">
        <v>41</v>
      </c>
      <c r="B43" s="0" t="s">
        <v>190</v>
      </c>
      <c r="C43" s="0" t="n">
        <v>12.1871845783333</v>
      </c>
    </row>
    <row r="44" customFormat="false" ht="12.8" hidden="false" customHeight="false" outlineLevel="0" collapsed="false">
      <c r="A44" s="0" t="n">
        <v>42</v>
      </c>
      <c r="B44" s="0" t="s">
        <v>74</v>
      </c>
      <c r="C44" s="0" t="n">
        <v>0</v>
      </c>
    </row>
    <row r="45" customFormat="false" ht="12.8" hidden="false" customHeight="false" outlineLevel="0" collapsed="false">
      <c r="A45" s="0" t="n">
        <v>43</v>
      </c>
      <c r="B45" s="0" t="s">
        <v>75</v>
      </c>
      <c r="C45" s="0" t="n">
        <v>27.5538771083333</v>
      </c>
    </row>
    <row r="46" customFormat="false" ht="12.8" hidden="false" customHeight="false" outlineLevel="0" collapsed="false">
      <c r="A46" s="0" t="n">
        <v>44</v>
      </c>
      <c r="B46" s="0" t="s">
        <v>76</v>
      </c>
      <c r="C46" s="0" t="n">
        <v>41.5419665</v>
      </c>
    </row>
    <row r="47" customFormat="false" ht="12.8" hidden="false" customHeight="false" outlineLevel="0" collapsed="false">
      <c r="A47" s="0" t="n">
        <v>45</v>
      </c>
      <c r="B47" s="0" t="s">
        <v>77</v>
      </c>
      <c r="C47" s="0" t="n">
        <v>135.45015925</v>
      </c>
    </row>
    <row r="48" customFormat="false" ht="12.8" hidden="false" customHeight="false" outlineLevel="0" collapsed="false">
      <c r="A48" s="0" t="n">
        <v>46</v>
      </c>
      <c r="B48" s="0" t="s">
        <v>79</v>
      </c>
      <c r="C48" s="0" t="n">
        <v>998.194807166667</v>
      </c>
    </row>
    <row r="49" customFormat="false" ht="12.8" hidden="false" customHeight="false" outlineLevel="0" collapsed="false">
      <c r="A49" s="0" t="n">
        <v>47</v>
      </c>
      <c r="B49" s="0" t="s">
        <v>81</v>
      </c>
      <c r="C49" s="0" t="n">
        <v>373.51129225</v>
      </c>
    </row>
    <row r="50" customFormat="false" ht="12.8" hidden="false" customHeight="false" outlineLevel="0" collapsed="false">
      <c r="A50" s="0" t="n">
        <v>48</v>
      </c>
      <c r="B50" s="0" t="s">
        <v>84</v>
      </c>
      <c r="C50" s="0" t="n">
        <v>0.378344380853333</v>
      </c>
    </row>
    <row r="51" customFormat="false" ht="12.8" hidden="false" customHeight="false" outlineLevel="0" collapsed="false">
      <c r="A51" s="0" t="n">
        <v>49</v>
      </c>
      <c r="B51" s="0" t="s">
        <v>87</v>
      </c>
      <c r="C51" s="0" t="n">
        <v>2.76777553425</v>
      </c>
    </row>
    <row r="52" customFormat="false" ht="12.8" hidden="false" customHeight="false" outlineLevel="0" collapsed="false">
      <c r="A52" s="0" t="n">
        <v>50</v>
      </c>
      <c r="B52" s="0" t="s">
        <v>92</v>
      </c>
      <c r="C52" s="0" t="n">
        <v>3.7359213425</v>
      </c>
    </row>
    <row r="53" customFormat="false" ht="12.8" hidden="false" customHeight="false" outlineLevel="0" collapsed="false">
      <c r="A53" s="0" t="n">
        <v>51</v>
      </c>
      <c r="B53" s="0" t="s">
        <v>191</v>
      </c>
      <c r="C53" s="0" t="n">
        <v>2412.26290783333</v>
      </c>
    </row>
    <row r="54" customFormat="false" ht="12.8" hidden="false" customHeight="false" outlineLevel="0" collapsed="false">
      <c r="A54" s="0" t="n">
        <v>52</v>
      </c>
      <c r="B54" s="0" t="s">
        <v>93</v>
      </c>
      <c r="C54" s="0" t="n">
        <v>10.6484955121667</v>
      </c>
    </row>
    <row r="55" customFormat="false" ht="12.8" hidden="false" customHeight="false" outlineLevel="0" collapsed="false">
      <c r="A55" s="0" t="n">
        <v>53</v>
      </c>
      <c r="B55" s="0" t="s">
        <v>96</v>
      </c>
      <c r="C55" s="0" t="n">
        <v>73.9922154172333</v>
      </c>
    </row>
    <row r="56" customFormat="false" ht="12.8" hidden="false" customHeight="false" outlineLevel="0" collapsed="false">
      <c r="A56" s="0" t="n">
        <v>54</v>
      </c>
      <c r="B56" s="0" t="s">
        <v>102</v>
      </c>
      <c r="C56" s="0" t="n">
        <v>69.5112364583333</v>
      </c>
    </row>
    <row r="57" customFormat="false" ht="12.8" hidden="false" customHeight="false" outlineLevel="0" collapsed="false">
      <c r="A57" s="0" t="n">
        <v>55</v>
      </c>
      <c r="B57" s="0" t="s">
        <v>192</v>
      </c>
      <c r="C57" s="0" t="n">
        <v>1.958658274</v>
      </c>
    </row>
    <row r="58" customFormat="false" ht="12.8" hidden="false" customHeight="false" outlineLevel="0" collapsed="false">
      <c r="A58" s="0" t="n">
        <v>56</v>
      </c>
      <c r="B58" s="0" t="s">
        <v>193</v>
      </c>
      <c r="C58" s="0" t="n">
        <v>62.4149171283333</v>
      </c>
    </row>
    <row r="59" customFormat="false" ht="12.8" hidden="false" customHeight="false" outlineLevel="0" collapsed="false">
      <c r="A59" s="0" t="n">
        <v>57</v>
      </c>
      <c r="B59" s="0" t="s">
        <v>106</v>
      </c>
      <c r="C59" s="0" t="n">
        <v>26.7388154016667</v>
      </c>
    </row>
    <row r="60" customFormat="false" ht="12.8" hidden="false" customHeight="false" outlineLevel="0" collapsed="false">
      <c r="A60" s="0" t="n">
        <v>58</v>
      </c>
      <c r="B60" s="0" t="s">
        <v>111</v>
      </c>
      <c r="C60" s="0" t="n">
        <v>78.6023148333333</v>
      </c>
    </row>
    <row r="61" customFormat="false" ht="12.8" hidden="false" customHeight="false" outlineLevel="0" collapsed="false">
      <c r="A61" s="0" t="n">
        <v>59</v>
      </c>
      <c r="B61" s="0" t="s">
        <v>112</v>
      </c>
      <c r="C61" s="0" t="n">
        <v>16.05730585</v>
      </c>
    </row>
    <row r="62" customFormat="false" ht="12.8" hidden="false" customHeight="false" outlineLevel="0" collapsed="false">
      <c r="A62" s="0" t="n">
        <v>60</v>
      </c>
      <c r="B62" s="0" t="s">
        <v>194</v>
      </c>
      <c r="C62" s="0" t="n">
        <v>18105.3575066667</v>
      </c>
    </row>
    <row r="63" customFormat="false" ht="12.8" hidden="false" customHeight="false" outlineLevel="0" collapsed="false">
      <c r="A63" s="0" t="n">
        <v>61</v>
      </c>
      <c r="B63" s="0" t="s">
        <v>195</v>
      </c>
      <c r="C63" s="0" t="n">
        <v>4947.42946333333</v>
      </c>
    </row>
    <row r="64" customFormat="false" ht="12.8" hidden="false" customHeight="false" outlineLevel="0" collapsed="false">
      <c r="A64" s="0" t="n">
        <v>62</v>
      </c>
      <c r="B64" s="0" t="s">
        <v>196</v>
      </c>
      <c r="C64" s="0" t="n">
        <v>4933.340805</v>
      </c>
    </row>
    <row r="65" customFormat="false" ht="12.8" hidden="false" customHeight="false" outlineLevel="0" collapsed="false">
      <c r="A65" s="0" t="n">
        <v>63</v>
      </c>
      <c r="B65" s="0" t="s">
        <v>197</v>
      </c>
      <c r="C65" s="0" t="n">
        <v>14.2578246571429</v>
      </c>
    </row>
    <row r="66" customFormat="false" ht="12.8" hidden="false" customHeight="false" outlineLevel="0" collapsed="false">
      <c r="A66" s="0" t="n">
        <v>64</v>
      </c>
      <c r="B66" s="0" t="s">
        <v>116</v>
      </c>
      <c r="C66" s="0" t="n">
        <v>9.91581670333333</v>
      </c>
    </row>
    <row r="67" customFormat="false" ht="12.8" hidden="false" customHeight="false" outlineLevel="0" collapsed="false">
      <c r="A67" s="0" t="n">
        <v>65</v>
      </c>
      <c r="B67" s="0" t="s">
        <v>198</v>
      </c>
      <c r="C67" s="0" t="n">
        <v>11301.4228916667</v>
      </c>
    </row>
    <row r="68" customFormat="false" ht="12.8" hidden="false" customHeight="false" outlineLevel="0" collapsed="false">
      <c r="A68" s="0" t="n">
        <v>66</v>
      </c>
      <c r="B68" s="0" t="s">
        <v>199</v>
      </c>
      <c r="C68" s="0" t="n">
        <v>454.055150666667</v>
      </c>
    </row>
    <row r="69" customFormat="false" ht="12.8" hidden="false" customHeight="false" outlineLevel="0" collapsed="false">
      <c r="A69" s="0" t="n">
        <v>67</v>
      </c>
      <c r="B69" s="0" t="s">
        <v>117</v>
      </c>
      <c r="C69" s="0" t="n">
        <v>0.195342327745567</v>
      </c>
    </row>
    <row r="70" customFormat="false" ht="12.8" hidden="false" customHeight="false" outlineLevel="0" collapsed="false">
      <c r="A70" s="0" t="n">
        <v>68</v>
      </c>
      <c r="B70" s="0" t="s">
        <v>200</v>
      </c>
      <c r="C70" s="0" t="n">
        <v>263.156274166667</v>
      </c>
    </row>
    <row r="71" customFormat="false" ht="12.8" hidden="false" customHeight="false" outlineLevel="0" collapsed="false">
      <c r="A71" s="0" t="n">
        <v>69</v>
      </c>
      <c r="B71" s="0" t="s">
        <v>201</v>
      </c>
      <c r="C71" s="0" t="n">
        <v>15.239913095</v>
      </c>
    </row>
    <row r="72" customFormat="false" ht="12.8" hidden="false" customHeight="false" outlineLevel="0" collapsed="false">
      <c r="A72" s="0" t="n">
        <v>70</v>
      </c>
      <c r="B72" s="0" t="s">
        <v>202</v>
      </c>
      <c r="C72" s="0" t="n">
        <v>10.0315767356667</v>
      </c>
    </row>
    <row r="73" customFormat="false" ht="12.8" hidden="false" customHeight="false" outlineLevel="0" collapsed="false">
      <c r="A73" s="0" t="n">
        <v>71</v>
      </c>
      <c r="B73" s="0" t="s">
        <v>203</v>
      </c>
      <c r="C73" s="0" t="n">
        <v>150.124712916667</v>
      </c>
    </row>
    <row r="74" customFormat="false" ht="12.8" hidden="false" customHeight="false" outlineLevel="0" collapsed="false">
      <c r="A74" s="0" t="n">
        <v>72</v>
      </c>
      <c r="B74" s="0" t="s">
        <v>204</v>
      </c>
      <c r="C74" s="0" t="n">
        <v>2.04017019216667</v>
      </c>
    </row>
    <row r="75" customFormat="false" ht="12.8" hidden="false" customHeight="false" outlineLevel="0" collapsed="false">
      <c r="A75" s="0" t="n">
        <v>73</v>
      </c>
      <c r="B75" s="0" t="s">
        <v>205</v>
      </c>
      <c r="C75" s="0" t="n">
        <v>0.0947678397583333</v>
      </c>
    </row>
    <row r="76" customFormat="false" ht="12.8" hidden="false" customHeight="false" outlineLevel="0" collapsed="false">
      <c r="A76" s="0" t="n">
        <v>74</v>
      </c>
      <c r="B76" s="0" t="s">
        <v>206</v>
      </c>
      <c r="C76" s="0" t="n">
        <v>0.121960141666667</v>
      </c>
    </row>
    <row r="77" customFormat="false" ht="12.8" hidden="false" customHeight="false" outlineLevel="0" collapsed="false">
      <c r="A77" s="0" t="n">
        <v>75</v>
      </c>
      <c r="B77" s="0" t="s">
        <v>207</v>
      </c>
      <c r="C77" s="0" t="n">
        <v>8.68940998183333</v>
      </c>
    </row>
    <row r="78" customFormat="false" ht="12.8" hidden="false" customHeight="false" outlineLevel="0" collapsed="false">
      <c r="A78" s="0" t="n">
        <v>76</v>
      </c>
      <c r="B78" s="0" t="s">
        <v>118</v>
      </c>
      <c r="C78" s="0" t="n">
        <v>41.572172755</v>
      </c>
    </row>
    <row r="79" customFormat="false" ht="12.8" hidden="false" customHeight="false" outlineLevel="0" collapsed="false">
      <c r="A79" s="0" t="n">
        <v>77</v>
      </c>
      <c r="B79" s="0" t="s">
        <v>123</v>
      </c>
      <c r="C79" s="0" t="n">
        <v>5.04165668933333</v>
      </c>
    </row>
    <row r="80" customFormat="false" ht="12.8" hidden="false" customHeight="false" outlineLevel="0" collapsed="false">
      <c r="A80" s="0" t="n">
        <v>78</v>
      </c>
      <c r="B80" s="0" t="s">
        <v>124</v>
      </c>
      <c r="C80" s="0" t="n">
        <v>57.3543519093333</v>
      </c>
    </row>
    <row r="81" customFormat="false" ht="12.8" hidden="false" customHeight="false" outlineLevel="0" collapsed="false">
      <c r="A81" s="0" t="n">
        <v>79</v>
      </c>
      <c r="B81" s="0" t="s">
        <v>125</v>
      </c>
      <c r="C81" s="0" t="n">
        <v>792.690165</v>
      </c>
    </row>
    <row r="82" customFormat="false" ht="12.8" hidden="false" customHeight="false" outlineLevel="0" collapsed="false">
      <c r="A82" s="0" t="n">
        <v>80</v>
      </c>
      <c r="B82" s="0" t="s">
        <v>126</v>
      </c>
      <c r="C82" s="0" t="n">
        <v>21.4339011367167</v>
      </c>
    </row>
    <row r="83" customFormat="false" ht="12.8" hidden="false" customHeight="false" outlineLevel="0" collapsed="false">
      <c r="A83" s="0" t="n">
        <v>81</v>
      </c>
      <c r="B83" s="0" t="s">
        <v>127</v>
      </c>
      <c r="C83" s="0" t="n">
        <v>0.0483002510666667</v>
      </c>
    </row>
    <row r="84" customFormat="false" ht="12.8" hidden="false" customHeight="false" outlineLevel="0" collapsed="false">
      <c r="A84" s="0" t="n">
        <v>82</v>
      </c>
      <c r="B84" s="0" t="s">
        <v>131</v>
      </c>
      <c r="C84" s="0" t="n">
        <v>103.04107065</v>
      </c>
    </row>
    <row r="85" customFormat="false" ht="12.8" hidden="false" customHeight="false" outlineLevel="0" collapsed="false">
      <c r="A85" s="0" t="n">
        <v>83</v>
      </c>
      <c r="B85" s="0" t="s">
        <v>208</v>
      </c>
      <c r="C85" s="0" t="n">
        <v>1352.93463075</v>
      </c>
    </row>
    <row r="86" customFormat="false" ht="12.8" hidden="false" customHeight="false" outlineLevel="0" collapsed="false">
      <c r="A86" s="0" t="n">
        <v>84</v>
      </c>
      <c r="B86" s="0" t="s">
        <v>136</v>
      </c>
      <c r="C86" s="0" t="n">
        <v>0.339018099833333</v>
      </c>
    </row>
    <row r="87" customFormat="false" ht="12.8" hidden="false" customHeight="false" outlineLevel="0" collapsed="false">
      <c r="A87" s="0" t="n">
        <v>85</v>
      </c>
      <c r="B87" s="0" t="s">
        <v>141</v>
      </c>
      <c r="C87" s="0" t="n">
        <v>1.08498881938333</v>
      </c>
    </row>
    <row r="88" customFormat="false" ht="12.8" hidden="false" customHeight="false" outlineLevel="0" collapsed="false">
      <c r="A88" s="0" t="n">
        <v>86</v>
      </c>
      <c r="B88" s="0" t="s">
        <v>142</v>
      </c>
      <c r="C88" s="0" t="n">
        <v>63.3694092</v>
      </c>
    </row>
    <row r="89" customFormat="false" ht="12.8" hidden="false" customHeight="false" outlineLevel="0" collapsed="false">
      <c r="A89" s="0" t="n">
        <v>87</v>
      </c>
      <c r="B89" s="0" t="s">
        <v>143</v>
      </c>
      <c r="C89" s="0" t="n">
        <v>15.0890441142857</v>
      </c>
    </row>
    <row r="90" customFormat="false" ht="12.8" hidden="false" customHeight="false" outlineLevel="0" collapsed="false">
      <c r="A90" s="0" t="n">
        <v>88</v>
      </c>
      <c r="B90" s="0" t="s">
        <v>146</v>
      </c>
      <c r="C90" s="0" t="n">
        <v>752.134641666667</v>
      </c>
    </row>
    <row r="91" customFormat="false" ht="12.8" hidden="false" customHeight="false" outlineLevel="0" collapsed="false">
      <c r="A91" s="0" t="n">
        <v>89</v>
      </c>
      <c r="B91" s="0" t="s">
        <v>209</v>
      </c>
      <c r="C91" s="0" t="n">
        <v>207.126944866667</v>
      </c>
    </row>
    <row r="92" customFormat="false" ht="12.8" hidden="false" customHeight="false" outlineLevel="0" collapsed="false">
      <c r="A92" s="0" t="n">
        <v>90</v>
      </c>
      <c r="B92" s="0" t="s">
        <v>210</v>
      </c>
      <c r="C92" s="0" t="n">
        <v>464.5560454</v>
      </c>
    </row>
    <row r="93" customFormat="false" ht="12.8" hidden="false" customHeight="false" outlineLevel="0" collapsed="false">
      <c r="A93" s="0" t="n">
        <v>91</v>
      </c>
      <c r="B93" s="0" t="s">
        <v>211</v>
      </c>
      <c r="C93" s="0" t="n">
        <v>221.215576066667</v>
      </c>
    </row>
    <row r="94" customFormat="false" ht="12.8" hidden="false" customHeight="false" outlineLevel="0" collapsed="false">
      <c r="A94" s="0" t="n">
        <v>92</v>
      </c>
      <c r="B94" s="0" t="s">
        <v>148</v>
      </c>
      <c r="C94" s="0" t="n">
        <v>158.406864383333</v>
      </c>
    </row>
    <row r="95" customFormat="false" ht="12.8" hidden="false" customHeight="false" outlineLevel="0" collapsed="false">
      <c r="A95" s="0" t="n">
        <v>93</v>
      </c>
      <c r="B95" s="0" t="s">
        <v>149</v>
      </c>
      <c r="C95" s="0" t="n">
        <v>3.3616930413</v>
      </c>
    </row>
    <row r="96" customFormat="false" ht="12.8" hidden="false" customHeight="false" outlineLevel="0" collapsed="false">
      <c r="A96" s="0" t="n">
        <v>94</v>
      </c>
      <c r="B96" s="0" t="s">
        <v>153</v>
      </c>
      <c r="C96" s="0" t="n">
        <v>26.3458852666667</v>
      </c>
    </row>
    <row r="97" customFormat="false" ht="12.8" hidden="false" customHeight="false" outlineLevel="0" collapsed="false">
      <c r="A97" s="0" t="n">
        <v>95</v>
      </c>
      <c r="B97" s="0" t="s">
        <v>154</v>
      </c>
      <c r="C97" s="0" t="n">
        <v>3.34707582666667</v>
      </c>
    </row>
    <row r="98" customFormat="false" ht="12.8" hidden="false" customHeight="false" outlineLevel="0" collapsed="false">
      <c r="A98" s="0" t="n">
        <v>96</v>
      </c>
      <c r="B98" s="0" t="s">
        <v>212</v>
      </c>
      <c r="C98" s="0" t="n">
        <v>234.64181395</v>
      </c>
    </row>
    <row r="99" customFormat="false" ht="12.8" hidden="false" customHeight="false" outlineLevel="0" collapsed="false">
      <c r="A99" s="0" t="n">
        <v>97</v>
      </c>
      <c r="B99" s="0" t="s">
        <v>157</v>
      </c>
      <c r="C99" s="0" t="n">
        <v>87.0601012721667</v>
      </c>
    </row>
    <row r="100" customFormat="false" ht="12.8" hidden="false" customHeight="false" outlineLevel="0" collapsed="false">
      <c r="A100" s="0" t="n">
        <v>98</v>
      </c>
      <c r="B100" s="0" t="s">
        <v>159</v>
      </c>
      <c r="C100" s="0" t="n">
        <v>0</v>
      </c>
    </row>
    <row r="101" customFormat="false" ht="12.8" hidden="false" customHeight="false" outlineLevel="0" collapsed="false">
      <c r="A101" s="0" t="n">
        <v>99</v>
      </c>
      <c r="B101" s="0" t="s">
        <v>161</v>
      </c>
      <c r="C101" s="0" t="n">
        <v>228.318746733333</v>
      </c>
    </row>
    <row r="102" customFormat="false" ht="12.8" hidden="false" customHeight="false" outlineLevel="0" collapsed="false">
      <c r="A102" s="0" t="n">
        <v>100</v>
      </c>
      <c r="B102" s="0" t="s">
        <v>162</v>
      </c>
      <c r="C102" s="0" t="n">
        <v>0.71175599985</v>
      </c>
    </row>
    <row r="103" customFormat="false" ht="12.8" hidden="false" customHeight="false" outlineLevel="0" collapsed="false">
      <c r="A103" s="0" t="n">
        <v>101</v>
      </c>
      <c r="B103" s="0" t="s">
        <v>213</v>
      </c>
      <c r="C103" s="0" t="n">
        <v>3828.810235</v>
      </c>
    </row>
    <row r="104" customFormat="false" ht="12.8" hidden="false" customHeight="false" outlineLevel="0" collapsed="false">
      <c r="A104" s="0" t="n">
        <v>102</v>
      </c>
      <c r="B104" s="0" t="s">
        <v>164</v>
      </c>
      <c r="C104" s="0" t="n">
        <v>509.8044825</v>
      </c>
    </row>
    <row r="105" customFormat="false" ht="12.8" hidden="false" customHeight="false" outlineLevel="0" collapsed="false">
      <c r="A105" s="0" t="n">
        <v>103</v>
      </c>
      <c r="B105" s="0" t="s">
        <v>165</v>
      </c>
      <c r="C105" s="0" t="n">
        <v>5.684591305</v>
      </c>
    </row>
    <row r="106" customFormat="false" ht="12.8" hidden="false" customHeight="false" outlineLevel="0" collapsed="false">
      <c r="A106" s="0" t="n">
        <v>104</v>
      </c>
      <c r="B106" s="0" t="s">
        <v>214</v>
      </c>
      <c r="C106" s="0" t="n">
        <v>598.5163517</v>
      </c>
    </row>
    <row r="107" customFormat="false" ht="12.8" hidden="false" customHeight="false" outlineLevel="0" collapsed="false">
      <c r="A107" s="0" t="n">
        <v>105</v>
      </c>
      <c r="B107" s="0" t="s">
        <v>215</v>
      </c>
      <c r="C107" s="0" t="n">
        <v>4608.00477833333</v>
      </c>
    </row>
    <row r="108" customFormat="false" ht="12.8" hidden="false" customHeight="false" outlineLevel="0" collapsed="false">
      <c r="A108" s="0" t="n">
        <v>106</v>
      </c>
      <c r="B108" s="0" t="s">
        <v>216</v>
      </c>
      <c r="C108" s="0" t="n">
        <v>14146.6902066667</v>
      </c>
    </row>
    <row r="109" customFormat="false" ht="12.8" hidden="false" customHeight="false" outlineLevel="0" collapsed="false">
      <c r="A109" s="0" t="n">
        <v>107</v>
      </c>
      <c r="B109" s="0" t="s">
        <v>170</v>
      </c>
      <c r="C109" s="0" t="n">
        <v>16.6137639375</v>
      </c>
    </row>
    <row r="110" customFormat="false" ht="12.8" hidden="false" customHeight="false" outlineLevel="0" collapsed="false">
      <c r="A110" s="0" t="n">
        <v>108</v>
      </c>
      <c r="B110" s="0" t="s">
        <v>217</v>
      </c>
      <c r="C110" s="0" t="n">
        <v>1.53062656033333</v>
      </c>
    </row>
    <row r="111" customFormat="false" ht="12.8" hidden="false" customHeight="false" outlineLevel="0" collapsed="false">
      <c r="A111" s="0" t="n">
        <v>109</v>
      </c>
      <c r="B111" s="0" t="s">
        <v>218</v>
      </c>
      <c r="C111" s="0" t="n">
        <v>131.589643133333</v>
      </c>
    </row>
    <row r="112" customFormat="false" ht="12.8" hidden="false" customHeight="false" outlineLevel="0" collapsed="false">
      <c r="A112" s="0" t="n">
        <v>110</v>
      </c>
      <c r="B112" s="0" t="s">
        <v>219</v>
      </c>
      <c r="C112" s="0" t="n">
        <v>4.44327772633333</v>
      </c>
    </row>
    <row r="113" customFormat="false" ht="12.8" hidden="false" customHeight="false" outlineLevel="0" collapsed="false">
      <c r="A113" s="0" t="n">
        <v>111</v>
      </c>
      <c r="B113" s="0" t="s">
        <v>220</v>
      </c>
      <c r="C113" s="0" t="n">
        <v>29406.7803166667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.32"/>
    <col collapsed="false" customWidth="true" hidden="false" outlineLevel="0" max="2" min="2" style="0" width="31.94"/>
    <col collapsed="false" customWidth="true" hidden="false" outlineLevel="0" max="3" min="3" style="0" width="31.14"/>
    <col collapsed="false" customWidth="true" hidden="false" outlineLevel="0" max="4" min="4" style="0" width="23.74"/>
    <col collapsed="false" customWidth="true" hidden="false" outlineLevel="0" max="5" min="5" style="0" width="11.64"/>
    <col collapsed="false" customWidth="true" hidden="false" outlineLevel="0" max="6" min="6" style="0" width="4.91"/>
    <col collapsed="false" customWidth="true" hidden="false" outlineLevel="0" max="7" min="7" style="0" width="16.21"/>
  </cols>
  <sheetData>
    <row r="1" customFormat="false" ht="12.8" hidden="false" customHeight="false" outlineLevel="0" collapsed="false">
      <c r="B1" s="0" t="s">
        <v>0</v>
      </c>
      <c r="C1" s="0" t="s">
        <v>221</v>
      </c>
      <c r="D1" s="0" t="s">
        <v>222</v>
      </c>
      <c r="E1" s="0" t="s">
        <v>223</v>
      </c>
      <c r="F1" s="0" t="s">
        <v>224</v>
      </c>
      <c r="G1" s="0" t="s">
        <v>225</v>
      </c>
    </row>
    <row r="2" customFormat="false" ht="12.8" hidden="false" customHeight="false" outlineLevel="0" collapsed="false">
      <c r="A2" s="0" t="n">
        <v>2</v>
      </c>
      <c r="B2" s="0" t="s">
        <v>106</v>
      </c>
      <c r="C2" s="0" t="s">
        <v>226</v>
      </c>
      <c r="D2" s="0" t="s">
        <v>227</v>
      </c>
      <c r="E2" s="0" t="s">
        <v>228</v>
      </c>
      <c r="F2" s="0" t="n">
        <v>2023</v>
      </c>
      <c r="G2" s="0" t="n">
        <v>19.8896007146868</v>
      </c>
    </row>
    <row r="3" customFormat="false" ht="12.8" hidden="false" customHeight="false" outlineLevel="0" collapsed="false">
      <c r="A3" s="0" t="n">
        <v>5</v>
      </c>
      <c r="B3" s="0" t="s">
        <v>229</v>
      </c>
      <c r="C3" s="0" t="s">
        <v>226</v>
      </c>
      <c r="D3" s="0" t="s">
        <v>227</v>
      </c>
      <c r="E3" s="0" t="s">
        <v>228</v>
      </c>
      <c r="F3" s="0" t="n">
        <v>2023</v>
      </c>
      <c r="G3" s="0" t="n">
        <v>49.3410056954616</v>
      </c>
    </row>
    <row r="4" customFormat="false" ht="12.8" hidden="false" customHeight="false" outlineLevel="0" collapsed="false">
      <c r="A4" s="0" t="n">
        <v>8</v>
      </c>
      <c r="B4" s="0" t="s">
        <v>25</v>
      </c>
      <c r="C4" s="0" t="s">
        <v>226</v>
      </c>
      <c r="D4" s="0" t="s">
        <v>227</v>
      </c>
      <c r="E4" s="0" t="s">
        <v>228</v>
      </c>
      <c r="F4" s="0" t="n">
        <v>2023</v>
      </c>
      <c r="G4" s="0" t="n">
        <v>30.6610911947007</v>
      </c>
    </row>
    <row r="5" customFormat="false" ht="12.8" hidden="false" customHeight="false" outlineLevel="0" collapsed="false">
      <c r="A5" s="0" t="n">
        <v>11</v>
      </c>
      <c r="B5" s="0" t="s">
        <v>113</v>
      </c>
      <c r="C5" s="0" t="s">
        <v>226</v>
      </c>
      <c r="D5" s="0" t="s">
        <v>227</v>
      </c>
      <c r="E5" s="0" t="s">
        <v>228</v>
      </c>
      <c r="F5" s="0" t="n">
        <v>2023</v>
      </c>
      <c r="G5" s="0" t="n">
        <v>21.0956559735467</v>
      </c>
    </row>
    <row r="6" customFormat="false" ht="12.8" hidden="false" customHeight="false" outlineLevel="0" collapsed="false">
      <c r="A6" s="0" t="n">
        <v>14</v>
      </c>
      <c r="B6" s="0" t="s">
        <v>230</v>
      </c>
      <c r="C6" s="0" t="s">
        <v>226</v>
      </c>
      <c r="D6" s="0" t="s">
        <v>227</v>
      </c>
      <c r="E6" s="0" t="s">
        <v>228</v>
      </c>
      <c r="F6" s="0" t="n">
        <v>2023</v>
      </c>
      <c r="G6" s="0" t="n">
        <v>8.9806373722539</v>
      </c>
    </row>
    <row r="7" customFormat="false" ht="12.8" hidden="false" customHeight="false" outlineLevel="0" collapsed="false">
      <c r="A7" s="0" t="n">
        <v>17</v>
      </c>
      <c r="B7" s="0" t="s">
        <v>231</v>
      </c>
      <c r="C7" s="0" t="s">
        <v>226</v>
      </c>
      <c r="D7" s="0" t="s">
        <v>227</v>
      </c>
      <c r="E7" s="0" t="s">
        <v>228</v>
      </c>
      <c r="F7" s="0" t="n">
        <v>2023</v>
      </c>
      <c r="G7" s="0" t="n">
        <v>77.0026278861091</v>
      </c>
    </row>
    <row r="8" customFormat="false" ht="12.8" hidden="false" customHeight="false" outlineLevel="0" collapsed="false">
      <c r="A8" s="0" t="n">
        <v>20</v>
      </c>
      <c r="B8" s="0" t="s">
        <v>40</v>
      </c>
      <c r="C8" s="0" t="s">
        <v>226</v>
      </c>
      <c r="D8" s="0" t="s">
        <v>227</v>
      </c>
      <c r="E8" s="0" t="s">
        <v>228</v>
      </c>
      <c r="F8" s="0" t="n">
        <v>2023</v>
      </c>
      <c r="G8" s="0" t="n">
        <v>45.6766345708862</v>
      </c>
    </row>
    <row r="9" customFormat="false" ht="12.8" hidden="false" customHeight="false" outlineLevel="0" collapsed="false">
      <c r="A9" s="0" t="n">
        <v>23</v>
      </c>
      <c r="B9" s="0" t="s">
        <v>117</v>
      </c>
      <c r="C9" s="0" t="s">
        <v>226</v>
      </c>
      <c r="D9" s="0" t="s">
        <v>227</v>
      </c>
      <c r="E9" s="0" t="s">
        <v>228</v>
      </c>
      <c r="F9" s="0" t="n">
        <v>2023</v>
      </c>
      <c r="G9" s="0" t="n">
        <v>6.99044023632057</v>
      </c>
    </row>
    <row r="10" customFormat="false" ht="12.8" hidden="false" customHeight="false" outlineLevel="0" collapsed="false">
      <c r="A10" s="0" t="n">
        <v>26</v>
      </c>
      <c r="B10" s="0" t="s">
        <v>232</v>
      </c>
      <c r="C10" s="0" t="s">
        <v>226</v>
      </c>
      <c r="D10" s="0" t="s">
        <v>227</v>
      </c>
      <c r="E10" s="0" t="s">
        <v>228</v>
      </c>
      <c r="F10" s="0" t="n">
        <v>2023</v>
      </c>
      <c r="G10" s="0" t="n">
        <v>26.4878065359029</v>
      </c>
    </row>
    <row r="11" customFormat="false" ht="12.8" hidden="false" customHeight="false" outlineLevel="0" collapsed="false">
      <c r="A11" s="0" t="n">
        <v>29</v>
      </c>
      <c r="B11" s="0" t="s">
        <v>43</v>
      </c>
      <c r="C11" s="0" t="s">
        <v>226</v>
      </c>
      <c r="D11" s="0" t="s">
        <v>227</v>
      </c>
      <c r="E11" s="0" t="s">
        <v>228</v>
      </c>
      <c r="F11" s="0" t="n">
        <v>2023</v>
      </c>
      <c r="G11" s="0" t="n">
        <v>39.0759513784644</v>
      </c>
    </row>
    <row r="12" customFormat="false" ht="12.8" hidden="false" customHeight="false" outlineLevel="0" collapsed="false">
      <c r="A12" s="0" t="n">
        <v>32</v>
      </c>
      <c r="B12" s="0" t="s">
        <v>127</v>
      </c>
      <c r="C12" s="0" t="s">
        <v>226</v>
      </c>
      <c r="D12" s="0" t="s">
        <v>227</v>
      </c>
      <c r="E12" s="0" t="s">
        <v>228</v>
      </c>
      <c r="F12" s="0" t="n">
        <v>2023</v>
      </c>
      <c r="G12" s="0" t="n">
        <v>2.1839451711964</v>
      </c>
    </row>
    <row r="13" customFormat="false" ht="12.8" hidden="false" customHeight="false" outlineLevel="0" collapsed="false">
      <c r="A13" s="0" t="n">
        <v>35</v>
      </c>
      <c r="B13" s="0" t="s">
        <v>72</v>
      </c>
      <c r="C13" s="0" t="s">
        <v>226</v>
      </c>
      <c r="D13" s="0" t="s">
        <v>227</v>
      </c>
      <c r="E13" s="0" t="s">
        <v>228</v>
      </c>
      <c r="F13" s="0" t="n">
        <v>2023</v>
      </c>
      <c r="G13" s="0" t="n">
        <v>36.463940205111</v>
      </c>
    </row>
    <row r="14" customFormat="false" ht="12.8" hidden="false" customHeight="false" outlineLevel="0" collapsed="false">
      <c r="A14" s="0" t="n">
        <v>38</v>
      </c>
      <c r="B14" s="0" t="s">
        <v>6</v>
      </c>
      <c r="C14" s="0" t="s">
        <v>226</v>
      </c>
      <c r="D14" s="0" t="s">
        <v>227</v>
      </c>
      <c r="E14" s="0" t="s">
        <v>228</v>
      </c>
      <c r="F14" s="0" t="n">
        <v>2023</v>
      </c>
      <c r="G14" s="0" t="n">
        <v>18.5022902121538</v>
      </c>
    </row>
    <row r="15" customFormat="false" ht="12.8" hidden="false" customHeight="false" outlineLevel="0" collapsed="false">
      <c r="A15" s="0" t="n">
        <v>41</v>
      </c>
      <c r="B15" s="0" t="s">
        <v>69</v>
      </c>
      <c r="C15" s="0" t="s">
        <v>226</v>
      </c>
      <c r="D15" s="0" t="s">
        <v>227</v>
      </c>
      <c r="E15" s="0" t="s">
        <v>228</v>
      </c>
      <c r="F15" s="0" t="n">
        <v>2023</v>
      </c>
      <c r="G15" s="0" t="n">
        <v>57.0316531355267</v>
      </c>
    </row>
    <row r="16" customFormat="false" ht="12.8" hidden="false" customHeight="false" outlineLevel="0" collapsed="false">
      <c r="A16" s="0" t="n">
        <v>44</v>
      </c>
      <c r="B16" s="0" t="s">
        <v>144</v>
      </c>
      <c r="C16" s="0" t="s">
        <v>226</v>
      </c>
      <c r="D16" s="0" t="s">
        <v>227</v>
      </c>
      <c r="E16" s="0" t="s">
        <v>228</v>
      </c>
      <c r="F16" s="0" t="n">
        <v>2023</v>
      </c>
      <c r="G16" s="0" t="n">
        <v>42.3960355246346</v>
      </c>
    </row>
    <row r="17" customFormat="false" ht="12.8" hidden="false" customHeight="false" outlineLevel="0" collapsed="false">
      <c r="A17" s="0" t="n">
        <v>47</v>
      </c>
      <c r="B17" s="0" t="s">
        <v>95</v>
      </c>
      <c r="C17" s="0" t="s">
        <v>226</v>
      </c>
      <c r="D17" s="0" t="s">
        <v>227</v>
      </c>
      <c r="E17" s="0" t="s">
        <v>228</v>
      </c>
      <c r="F17" s="0" t="n">
        <v>2023</v>
      </c>
      <c r="G17" s="0" t="n">
        <v>11.2301460363179</v>
      </c>
    </row>
    <row r="18" customFormat="false" ht="12.8" hidden="false" customHeight="false" outlineLevel="0" collapsed="false">
      <c r="A18" s="0" t="n">
        <v>50</v>
      </c>
      <c r="B18" s="0" t="s">
        <v>7</v>
      </c>
      <c r="C18" s="0" t="s">
        <v>226</v>
      </c>
      <c r="D18" s="0" t="s">
        <v>227</v>
      </c>
      <c r="E18" s="0" t="s">
        <v>228</v>
      </c>
      <c r="F18" s="0" t="n">
        <v>2023</v>
      </c>
      <c r="G18" s="0" t="n">
        <v>37.8492430030046</v>
      </c>
    </row>
    <row r="19" customFormat="false" ht="12.8" hidden="false" customHeight="false" outlineLevel="0" collapsed="false">
      <c r="A19" s="0" t="n">
        <v>53</v>
      </c>
      <c r="B19" s="0" t="s">
        <v>55</v>
      </c>
      <c r="C19" s="0" t="s">
        <v>226</v>
      </c>
      <c r="D19" s="0" t="s">
        <v>227</v>
      </c>
      <c r="E19" s="0" t="s">
        <v>228</v>
      </c>
      <c r="F19" s="0" t="n">
        <v>2023</v>
      </c>
      <c r="G19" s="0" t="n">
        <v>41.3655836887948</v>
      </c>
    </row>
    <row r="20" customFormat="false" ht="12.8" hidden="false" customHeight="false" outlineLevel="0" collapsed="false">
      <c r="A20" s="0" t="n">
        <v>56</v>
      </c>
      <c r="B20" s="0" t="s">
        <v>136</v>
      </c>
      <c r="C20" s="0" t="s">
        <v>226</v>
      </c>
      <c r="D20" s="0" t="s">
        <v>227</v>
      </c>
      <c r="E20" s="0" t="s">
        <v>228</v>
      </c>
      <c r="F20" s="0" t="n">
        <v>2023</v>
      </c>
      <c r="G20" s="0" t="n">
        <v>7.95532974129336</v>
      </c>
    </row>
    <row r="21" customFormat="false" ht="12.8" hidden="false" customHeight="false" outlineLevel="0" collapsed="false">
      <c r="A21" s="0" t="n">
        <v>59</v>
      </c>
      <c r="B21" s="0" t="s">
        <v>32</v>
      </c>
      <c r="C21" s="0" t="s">
        <v>226</v>
      </c>
      <c r="D21" s="0" t="s">
        <v>227</v>
      </c>
      <c r="E21" s="0" t="s">
        <v>228</v>
      </c>
      <c r="F21" s="0" t="n">
        <v>2023</v>
      </c>
      <c r="G21" s="0" t="n">
        <v>26.4295636961316</v>
      </c>
    </row>
    <row r="22" customFormat="false" ht="12.8" hidden="false" customHeight="false" outlineLevel="0" collapsed="false">
      <c r="A22" s="0" t="n">
        <v>62</v>
      </c>
      <c r="B22" s="0" t="s">
        <v>67</v>
      </c>
      <c r="C22" s="0" t="s">
        <v>226</v>
      </c>
      <c r="D22" s="0" t="s">
        <v>227</v>
      </c>
      <c r="E22" s="0" t="s">
        <v>228</v>
      </c>
      <c r="F22" s="0" t="n">
        <v>2023</v>
      </c>
      <c r="G22" s="0" t="n">
        <v>17.8952040693777</v>
      </c>
    </row>
    <row r="23" customFormat="false" ht="12.8" hidden="false" customHeight="false" outlineLevel="0" collapsed="false">
      <c r="A23" s="0" t="n">
        <v>65</v>
      </c>
      <c r="B23" s="0" t="s">
        <v>34</v>
      </c>
      <c r="C23" s="0" t="s">
        <v>226</v>
      </c>
      <c r="D23" s="0" t="s">
        <v>227</v>
      </c>
      <c r="E23" s="0" t="s">
        <v>228</v>
      </c>
      <c r="F23" s="0" t="n">
        <v>2023</v>
      </c>
      <c r="G23" s="0" t="n">
        <v>39.2378644489565</v>
      </c>
    </row>
    <row r="24" customFormat="false" ht="12.8" hidden="false" customHeight="false" outlineLevel="0" collapsed="false">
      <c r="A24" s="0" t="n">
        <v>68</v>
      </c>
      <c r="B24" s="0" t="s">
        <v>86</v>
      </c>
      <c r="C24" s="0" t="s">
        <v>226</v>
      </c>
      <c r="D24" s="0" t="s">
        <v>227</v>
      </c>
      <c r="E24" s="0" t="s">
        <v>228</v>
      </c>
      <c r="F24" s="0" t="n">
        <v>2023</v>
      </c>
      <c r="G24" s="0" t="n">
        <v>37.3264545308667</v>
      </c>
    </row>
    <row r="25" customFormat="false" ht="12.8" hidden="false" customHeight="false" outlineLevel="0" collapsed="false">
      <c r="A25" s="0" t="n">
        <v>71</v>
      </c>
      <c r="B25" s="0" t="s">
        <v>233</v>
      </c>
      <c r="C25" s="0" t="s">
        <v>226</v>
      </c>
      <c r="D25" s="0" t="s">
        <v>227</v>
      </c>
      <c r="E25" s="0" t="s">
        <v>228</v>
      </c>
      <c r="F25" s="0" t="n">
        <v>2023</v>
      </c>
      <c r="G25" s="0" t="n">
        <v>25.7843902992355</v>
      </c>
    </row>
    <row r="26" customFormat="false" ht="12.8" hidden="false" customHeight="false" outlineLevel="0" collapsed="false">
      <c r="A26" s="0" t="n">
        <v>74</v>
      </c>
      <c r="B26" s="0" t="s">
        <v>26</v>
      </c>
      <c r="C26" s="0" t="s">
        <v>226</v>
      </c>
      <c r="D26" s="0" t="s">
        <v>227</v>
      </c>
      <c r="E26" s="0" t="s">
        <v>228</v>
      </c>
      <c r="F26" s="0" t="n">
        <v>2023</v>
      </c>
      <c r="G26" s="0" t="n">
        <v>12.3470119593312</v>
      </c>
    </row>
    <row r="27" customFormat="false" ht="12.8" hidden="false" customHeight="false" outlineLevel="0" collapsed="false">
      <c r="A27" s="0" t="n">
        <v>77</v>
      </c>
      <c r="B27" s="0" t="s">
        <v>158</v>
      </c>
      <c r="C27" s="0" t="s">
        <v>226</v>
      </c>
      <c r="D27" s="0" t="s">
        <v>227</v>
      </c>
      <c r="E27" s="0" t="s">
        <v>228</v>
      </c>
      <c r="F27" s="0" t="n">
        <v>2023</v>
      </c>
      <c r="G27" s="0" t="n">
        <v>14.5456647286752</v>
      </c>
    </row>
    <row r="28" customFormat="false" ht="12.8" hidden="false" customHeight="false" outlineLevel="0" collapsed="false">
      <c r="A28" s="0" t="n">
        <v>80</v>
      </c>
      <c r="B28" s="0" t="s">
        <v>38</v>
      </c>
      <c r="C28" s="0" t="s">
        <v>226</v>
      </c>
      <c r="D28" s="0" t="s">
        <v>227</v>
      </c>
      <c r="E28" s="0" t="s">
        <v>228</v>
      </c>
      <c r="F28" s="0" t="n">
        <v>2023</v>
      </c>
      <c r="G28" s="0" t="n">
        <v>20.256653834954</v>
      </c>
    </row>
    <row r="29" customFormat="false" ht="12.8" hidden="false" customHeight="false" outlineLevel="0" collapsed="false">
      <c r="A29" s="0" t="n">
        <v>83</v>
      </c>
      <c r="B29" s="0" t="s">
        <v>234</v>
      </c>
      <c r="C29" s="0" t="s">
        <v>226</v>
      </c>
      <c r="D29" s="0" t="s">
        <v>227</v>
      </c>
      <c r="E29" s="0" t="s">
        <v>228</v>
      </c>
      <c r="F29" s="0" t="n">
        <v>2023</v>
      </c>
      <c r="G29" s="0" t="n">
        <v>38.2447143952484</v>
      </c>
    </row>
    <row r="30" customFormat="false" ht="12.8" hidden="false" customHeight="false" outlineLevel="0" collapsed="false">
      <c r="A30" s="0" t="n">
        <v>86</v>
      </c>
      <c r="B30" s="0" t="s">
        <v>79</v>
      </c>
      <c r="C30" s="0" t="s">
        <v>226</v>
      </c>
      <c r="D30" s="0" t="s">
        <v>227</v>
      </c>
      <c r="E30" s="0" t="s">
        <v>228</v>
      </c>
      <c r="F30" s="0" t="n">
        <v>2023</v>
      </c>
      <c r="G30" s="0" t="n">
        <v>61.3685673498238</v>
      </c>
    </row>
    <row r="31" customFormat="false" ht="12.8" hidden="false" customHeight="false" outlineLevel="0" collapsed="false">
      <c r="A31" s="0" t="n">
        <v>89</v>
      </c>
      <c r="B31" s="0" t="s">
        <v>76</v>
      </c>
      <c r="C31" s="0" t="s">
        <v>226</v>
      </c>
      <c r="D31" s="0" t="s">
        <v>227</v>
      </c>
      <c r="E31" s="0" t="s">
        <v>228</v>
      </c>
      <c r="F31" s="0" t="n">
        <v>2023</v>
      </c>
      <c r="G31" s="0" t="n">
        <v>22.0810541142133</v>
      </c>
    </row>
    <row r="32" customFormat="false" ht="12.8" hidden="false" customHeight="false" outlineLevel="0" collapsed="false">
      <c r="A32" s="0" t="n">
        <v>92</v>
      </c>
      <c r="B32" s="0" t="s">
        <v>45</v>
      </c>
      <c r="C32" s="0" t="s">
        <v>226</v>
      </c>
      <c r="D32" s="0" t="s">
        <v>227</v>
      </c>
      <c r="E32" s="0" t="s">
        <v>228</v>
      </c>
      <c r="F32" s="0" t="n">
        <v>2023</v>
      </c>
      <c r="G32" s="0" t="n">
        <v>26.3984153108647</v>
      </c>
    </row>
    <row r="33" customFormat="false" ht="12.8" hidden="false" customHeight="false" outlineLevel="0" collapsed="false">
      <c r="A33" s="0" t="n">
        <v>95</v>
      </c>
      <c r="B33" s="0" t="s">
        <v>30</v>
      </c>
      <c r="C33" s="0" t="s">
        <v>226</v>
      </c>
      <c r="D33" s="0" t="s">
        <v>227</v>
      </c>
      <c r="E33" s="0" t="s">
        <v>228</v>
      </c>
      <c r="F33" s="0" t="n">
        <v>2023</v>
      </c>
      <c r="G33" s="0" t="n">
        <v>14.4519467636248</v>
      </c>
    </row>
    <row r="34" customFormat="false" ht="12.8" hidden="false" customHeight="false" outlineLevel="0" collapsed="false">
      <c r="A34" s="0" t="n">
        <v>98</v>
      </c>
      <c r="B34" s="0" t="s">
        <v>235</v>
      </c>
      <c r="C34" s="0" t="s">
        <v>226</v>
      </c>
      <c r="D34" s="0" t="s">
        <v>227</v>
      </c>
      <c r="E34" s="0" t="s">
        <v>228</v>
      </c>
      <c r="F34" s="0" t="n">
        <v>2023</v>
      </c>
      <c r="G34" s="0" t="n">
        <v>47.1558618058251</v>
      </c>
    </row>
    <row r="35" customFormat="false" ht="12.8" hidden="false" customHeight="false" outlineLevel="0" collapsed="false">
      <c r="A35" s="0" t="n">
        <v>101</v>
      </c>
      <c r="B35" s="0" t="s">
        <v>156</v>
      </c>
      <c r="C35" s="0" t="s">
        <v>226</v>
      </c>
      <c r="D35" s="0" t="s">
        <v>227</v>
      </c>
      <c r="E35" s="0" t="s">
        <v>228</v>
      </c>
      <c r="F35" s="0" t="n">
        <v>2023</v>
      </c>
      <c r="G35" s="0" t="n">
        <v>17.2780408758278</v>
      </c>
    </row>
    <row r="36" customFormat="false" ht="12.8" hidden="false" customHeight="false" outlineLevel="0" collapsed="false">
      <c r="A36" s="0" t="n">
        <v>104</v>
      </c>
      <c r="B36" s="0" t="s">
        <v>101</v>
      </c>
      <c r="C36" s="0" t="s">
        <v>226</v>
      </c>
      <c r="D36" s="0" t="s">
        <v>227</v>
      </c>
      <c r="E36" s="0" t="s">
        <v>228</v>
      </c>
      <c r="F36" s="0" t="n">
        <v>2023</v>
      </c>
      <c r="G36" s="0" t="n">
        <v>34.4787776937893</v>
      </c>
    </row>
    <row r="37" customFormat="false" ht="12.8" hidden="false" customHeight="false" outlineLevel="0" collapsed="false">
      <c r="A37" s="0" t="n">
        <v>107</v>
      </c>
      <c r="B37" s="0" t="s">
        <v>128</v>
      </c>
      <c r="C37" s="0" t="s">
        <v>226</v>
      </c>
      <c r="D37" s="0" t="s">
        <v>227</v>
      </c>
      <c r="E37" s="0" t="s">
        <v>228</v>
      </c>
      <c r="F37" s="0" t="n">
        <v>2023</v>
      </c>
      <c r="G37" s="0" t="n">
        <v>34.9766177232736</v>
      </c>
    </row>
    <row r="38" customFormat="false" ht="12.8" hidden="false" customHeight="false" outlineLevel="0" collapsed="false">
      <c r="A38" s="0" t="n">
        <v>110</v>
      </c>
      <c r="B38" s="0" t="s">
        <v>163</v>
      </c>
      <c r="C38" s="0" t="s">
        <v>226</v>
      </c>
      <c r="D38" s="0" t="s">
        <v>227</v>
      </c>
      <c r="E38" s="0" t="s">
        <v>228</v>
      </c>
      <c r="F38" s="0" t="n">
        <v>2023</v>
      </c>
      <c r="G38" s="0" t="n">
        <v>10.2146836169982</v>
      </c>
    </row>
    <row r="39" customFormat="false" ht="12.8" hidden="false" customHeight="false" outlineLevel="0" collapsed="false">
      <c r="A39" s="0" t="n">
        <v>113</v>
      </c>
      <c r="B39" s="0" t="s">
        <v>169</v>
      </c>
      <c r="C39" s="0" t="s">
        <v>226</v>
      </c>
      <c r="D39" s="0" t="s">
        <v>227</v>
      </c>
      <c r="E39" s="0" t="s">
        <v>228</v>
      </c>
      <c r="F39" s="0" t="n">
        <v>2023</v>
      </c>
      <c r="G39" s="0" t="n">
        <v>61.7703443535466</v>
      </c>
    </row>
    <row r="40" customFormat="false" ht="12.8" hidden="false" customHeight="false" outlineLevel="0" collapsed="false">
      <c r="A40" s="0" t="n">
        <v>116</v>
      </c>
      <c r="B40" s="0" t="s">
        <v>77</v>
      </c>
      <c r="C40" s="0" t="s">
        <v>226</v>
      </c>
      <c r="D40" s="0" t="s">
        <v>227</v>
      </c>
      <c r="E40" s="0" t="s">
        <v>228</v>
      </c>
      <c r="F40" s="0" t="n">
        <v>2023</v>
      </c>
      <c r="G40" s="0" t="n">
        <v>55.5168264058243</v>
      </c>
    </row>
    <row r="41" customFormat="false" ht="12.8" hidden="false" customHeight="false" outlineLevel="0" collapsed="false">
      <c r="A41" s="0" t="n">
        <v>119</v>
      </c>
      <c r="B41" s="0" t="s">
        <v>51</v>
      </c>
      <c r="C41" s="0" t="s">
        <v>226</v>
      </c>
      <c r="D41" s="0" t="s">
        <v>227</v>
      </c>
      <c r="E41" s="0" t="s">
        <v>228</v>
      </c>
      <c r="F41" s="0" t="n">
        <v>2023</v>
      </c>
      <c r="G41" s="0" t="n">
        <v>15.5394667674795</v>
      </c>
    </row>
    <row r="42" customFormat="false" ht="12.8" hidden="false" customHeight="false" outlineLevel="0" collapsed="false">
      <c r="A42" s="0" t="n">
        <v>122</v>
      </c>
      <c r="B42" s="0" t="s">
        <v>175</v>
      </c>
      <c r="C42" s="0" t="s">
        <v>226</v>
      </c>
      <c r="D42" s="0" t="s">
        <v>227</v>
      </c>
      <c r="E42" s="0" t="s">
        <v>228</v>
      </c>
      <c r="F42" s="0" t="n">
        <v>2023</v>
      </c>
      <c r="G42" s="0" t="n">
        <v>11.8923016403865</v>
      </c>
    </row>
    <row r="43" customFormat="false" ht="12.8" hidden="false" customHeight="false" outlineLevel="0" collapsed="false">
      <c r="A43" s="0" t="n">
        <v>125</v>
      </c>
      <c r="B43" s="0" t="s">
        <v>141</v>
      </c>
      <c r="C43" s="0" t="s">
        <v>226</v>
      </c>
      <c r="D43" s="0" t="s">
        <v>227</v>
      </c>
      <c r="E43" s="0" t="s">
        <v>228</v>
      </c>
      <c r="F43" s="0" t="n">
        <v>2023</v>
      </c>
      <c r="G43" s="0" t="n">
        <v>12.7399223338266</v>
      </c>
    </row>
    <row r="44" customFormat="false" ht="12.8" hidden="false" customHeight="false" outlineLevel="0" collapsed="false">
      <c r="A44" s="0" t="n">
        <v>128</v>
      </c>
      <c r="B44" s="0" t="s">
        <v>162</v>
      </c>
      <c r="C44" s="0" t="s">
        <v>226</v>
      </c>
      <c r="D44" s="0" t="s">
        <v>227</v>
      </c>
      <c r="E44" s="0" t="s">
        <v>228</v>
      </c>
      <c r="F44" s="0" t="n">
        <v>2023</v>
      </c>
      <c r="G44" s="0" t="n">
        <v>9.28930340255459</v>
      </c>
    </row>
    <row r="45" customFormat="false" ht="12.8" hidden="false" customHeight="false" outlineLevel="0" collapsed="false">
      <c r="A45" s="0" t="n">
        <v>131</v>
      </c>
      <c r="B45" s="0" t="s">
        <v>93</v>
      </c>
      <c r="C45" s="0" t="s">
        <v>226</v>
      </c>
      <c r="D45" s="0" t="s">
        <v>227</v>
      </c>
      <c r="E45" s="0" t="s">
        <v>228</v>
      </c>
      <c r="F45" s="0" t="n">
        <v>2023</v>
      </c>
      <c r="G45" s="0" t="n">
        <v>37.5076408958501</v>
      </c>
    </row>
    <row r="46" customFormat="false" ht="12.8" hidden="false" customHeight="false" outlineLevel="0" collapsed="false">
      <c r="A46" s="0" t="n">
        <v>134</v>
      </c>
      <c r="B46" s="0" t="s">
        <v>78</v>
      </c>
      <c r="C46" s="0" t="s">
        <v>226</v>
      </c>
      <c r="D46" s="0" t="s">
        <v>227</v>
      </c>
      <c r="E46" s="0" t="s">
        <v>228</v>
      </c>
      <c r="F46" s="0" t="n">
        <v>2023</v>
      </c>
      <c r="G46" s="0" t="n">
        <v>19.3321378745215</v>
      </c>
    </row>
    <row r="47" customFormat="false" ht="12.8" hidden="false" customHeight="false" outlineLevel="0" collapsed="false">
      <c r="A47" s="0" t="n">
        <v>137</v>
      </c>
      <c r="B47" s="0" t="s">
        <v>57</v>
      </c>
      <c r="C47" s="0" t="s">
        <v>226</v>
      </c>
      <c r="D47" s="0" t="s">
        <v>227</v>
      </c>
      <c r="E47" s="0" t="s">
        <v>228</v>
      </c>
      <c r="F47" s="0" t="n">
        <v>2023</v>
      </c>
      <c r="G47" s="0" t="n">
        <v>28.0802897558959</v>
      </c>
    </row>
    <row r="48" customFormat="false" ht="12.8" hidden="false" customHeight="false" outlineLevel="0" collapsed="false">
      <c r="A48" s="0" t="n">
        <v>140</v>
      </c>
      <c r="B48" s="0" t="s">
        <v>135</v>
      </c>
      <c r="C48" s="0" t="s">
        <v>226</v>
      </c>
      <c r="D48" s="0" t="s">
        <v>227</v>
      </c>
      <c r="E48" s="0" t="s">
        <v>228</v>
      </c>
      <c r="F48" s="0" t="n">
        <v>2023</v>
      </c>
      <c r="G48" s="0" t="n">
        <v>29.3708411235535</v>
      </c>
    </row>
    <row r="49" customFormat="false" ht="12.8" hidden="false" customHeight="false" outlineLevel="0" collapsed="false">
      <c r="A49" s="0" t="n">
        <v>143</v>
      </c>
      <c r="B49" s="0" t="s">
        <v>151</v>
      </c>
      <c r="C49" s="0" t="s">
        <v>226</v>
      </c>
      <c r="D49" s="0" t="s">
        <v>227</v>
      </c>
      <c r="E49" s="0" t="s">
        <v>228</v>
      </c>
      <c r="F49" s="0" t="n">
        <v>2023</v>
      </c>
      <c r="G49" s="0" t="n">
        <v>17.5064388732932</v>
      </c>
    </row>
    <row r="50" customFormat="false" ht="12.8" hidden="false" customHeight="false" outlineLevel="0" collapsed="false">
      <c r="A50" s="0" t="n">
        <v>146</v>
      </c>
      <c r="B50" s="0" t="s">
        <v>120</v>
      </c>
      <c r="C50" s="0" t="s">
        <v>226</v>
      </c>
      <c r="D50" s="0" t="s">
        <v>227</v>
      </c>
      <c r="E50" s="0" t="s">
        <v>228</v>
      </c>
      <c r="F50" s="0" t="n">
        <v>2023</v>
      </c>
      <c r="G50" s="0" t="n">
        <v>21.1915734363201</v>
      </c>
    </row>
    <row r="51" customFormat="false" ht="12.8" hidden="false" customHeight="false" outlineLevel="0" collapsed="false">
      <c r="A51" s="0" t="n">
        <v>149</v>
      </c>
      <c r="B51" s="0" t="s">
        <v>35</v>
      </c>
      <c r="C51" s="0" t="s">
        <v>226</v>
      </c>
      <c r="D51" s="0" t="s">
        <v>227</v>
      </c>
      <c r="E51" s="0" t="s">
        <v>228</v>
      </c>
      <c r="F51" s="0" t="n">
        <v>2023</v>
      </c>
      <c r="G51" s="0" t="n">
        <v>73.1526943507694</v>
      </c>
    </row>
    <row r="52" customFormat="false" ht="12.8" hidden="false" customHeight="false" outlineLevel="0" collapsed="false">
      <c r="A52" s="0" t="n">
        <v>152</v>
      </c>
      <c r="B52" s="0" t="s">
        <v>236</v>
      </c>
      <c r="C52" s="0" t="s">
        <v>226</v>
      </c>
      <c r="D52" s="0" t="s">
        <v>227</v>
      </c>
      <c r="E52" s="0" t="s">
        <v>228</v>
      </c>
      <c r="F52" s="0" t="n">
        <v>2023</v>
      </c>
      <c r="G52" s="0" t="n">
        <v>13.6150582953301</v>
      </c>
    </row>
    <row r="53" customFormat="false" ht="12.8" hidden="false" customHeight="false" outlineLevel="0" collapsed="false">
      <c r="A53" s="0" t="n">
        <v>155</v>
      </c>
      <c r="B53" s="0" t="s">
        <v>50</v>
      </c>
      <c r="C53" s="0" t="s">
        <v>226</v>
      </c>
      <c r="D53" s="0" t="s">
        <v>227</v>
      </c>
      <c r="E53" s="0" t="s">
        <v>228</v>
      </c>
      <c r="F53" s="0" t="n">
        <v>2023</v>
      </c>
      <c r="G53" s="0" t="n">
        <v>29.6609768064656</v>
      </c>
    </row>
    <row r="54" customFormat="false" ht="12.8" hidden="false" customHeight="false" outlineLevel="0" collapsed="false">
      <c r="A54" s="0" t="n">
        <v>158</v>
      </c>
      <c r="B54" s="0" t="s">
        <v>99</v>
      </c>
      <c r="C54" s="0" t="s">
        <v>226</v>
      </c>
      <c r="D54" s="0" t="s">
        <v>227</v>
      </c>
      <c r="E54" s="0" t="s">
        <v>228</v>
      </c>
      <c r="F54" s="0" t="n">
        <v>2023</v>
      </c>
      <c r="G54" s="0" t="n">
        <v>30.0584477810826</v>
      </c>
    </row>
    <row r="55" customFormat="false" ht="12.8" hidden="false" customHeight="false" outlineLevel="0" collapsed="false">
      <c r="A55" s="0" t="n">
        <v>161</v>
      </c>
      <c r="B55" s="0" t="s">
        <v>171</v>
      </c>
      <c r="C55" s="0" t="s">
        <v>226</v>
      </c>
      <c r="D55" s="0" t="s">
        <v>227</v>
      </c>
      <c r="E55" s="0" t="s">
        <v>228</v>
      </c>
      <c r="F55" s="0" t="n">
        <v>2023</v>
      </c>
      <c r="G55" s="0" t="n">
        <v>41.5146300695578</v>
      </c>
    </row>
    <row r="56" customFormat="false" ht="12.8" hidden="false" customHeight="false" outlineLevel="0" collapsed="false">
      <c r="A56" s="0" t="n">
        <v>164</v>
      </c>
      <c r="B56" s="0" t="s">
        <v>23</v>
      </c>
      <c r="C56" s="0" t="s">
        <v>226</v>
      </c>
      <c r="D56" s="0" t="s">
        <v>227</v>
      </c>
      <c r="E56" s="0" t="s">
        <v>228</v>
      </c>
      <c r="F56" s="0" t="n">
        <v>2023</v>
      </c>
      <c r="G56" s="0" t="n">
        <v>32.3296801905344</v>
      </c>
    </row>
    <row r="57" customFormat="false" ht="12.8" hidden="false" customHeight="false" outlineLevel="0" collapsed="false">
      <c r="A57" s="0" t="n">
        <v>167</v>
      </c>
      <c r="B57" s="0" t="s">
        <v>63</v>
      </c>
      <c r="C57" s="0" t="s">
        <v>226</v>
      </c>
      <c r="D57" s="0" t="s">
        <v>227</v>
      </c>
      <c r="E57" s="0" t="s">
        <v>228</v>
      </c>
      <c r="F57" s="0" t="n">
        <v>2023</v>
      </c>
      <c r="G57" s="0" t="n">
        <v>14.1607388353579</v>
      </c>
    </row>
    <row r="58" customFormat="false" ht="12.8" hidden="false" customHeight="false" outlineLevel="0" collapsed="false">
      <c r="A58" s="0" t="n">
        <v>170</v>
      </c>
      <c r="B58" s="0" t="s">
        <v>15</v>
      </c>
      <c r="C58" s="0" t="s">
        <v>226</v>
      </c>
      <c r="D58" s="0" t="s">
        <v>227</v>
      </c>
      <c r="E58" s="0" t="s">
        <v>228</v>
      </c>
      <c r="F58" s="0" t="n">
        <v>2023</v>
      </c>
      <c r="G58" s="0" t="n">
        <v>20.612599691169</v>
      </c>
    </row>
    <row r="59" customFormat="false" ht="12.8" hidden="false" customHeight="false" outlineLevel="0" collapsed="false">
      <c r="A59" s="0" t="n">
        <v>173</v>
      </c>
      <c r="B59" s="0" t="s">
        <v>111</v>
      </c>
      <c r="C59" s="0" t="s">
        <v>226</v>
      </c>
      <c r="D59" s="0" t="s">
        <v>227</v>
      </c>
      <c r="E59" s="0" t="s">
        <v>228</v>
      </c>
      <c r="F59" s="0" t="n">
        <v>2023</v>
      </c>
      <c r="G59" s="0" t="n">
        <v>62.642304301217</v>
      </c>
    </row>
    <row r="60" customFormat="false" ht="12.8" hidden="false" customHeight="false" outlineLevel="0" collapsed="false">
      <c r="A60" s="0" t="n">
        <v>176</v>
      </c>
      <c r="B60" s="0" t="s">
        <v>172</v>
      </c>
      <c r="C60" s="0" t="s">
        <v>226</v>
      </c>
      <c r="D60" s="0" t="s">
        <v>227</v>
      </c>
      <c r="E60" s="0" t="s">
        <v>228</v>
      </c>
      <c r="F60" s="0" t="n">
        <v>2023</v>
      </c>
      <c r="G60" s="0" t="n">
        <v>21.4112007736093</v>
      </c>
    </row>
    <row r="61" customFormat="false" ht="12.8" hidden="false" customHeight="false" outlineLevel="0" collapsed="false">
      <c r="A61" s="0" t="n">
        <v>179</v>
      </c>
      <c r="B61" s="0" t="s">
        <v>68</v>
      </c>
      <c r="C61" s="0" t="s">
        <v>226</v>
      </c>
      <c r="D61" s="0" t="s">
        <v>227</v>
      </c>
      <c r="E61" s="0" t="s">
        <v>228</v>
      </c>
      <c r="F61" s="0" t="n">
        <v>2023</v>
      </c>
      <c r="G61" s="0" t="n">
        <v>31.1917317112859</v>
      </c>
    </row>
    <row r="62" customFormat="false" ht="12.8" hidden="false" customHeight="false" outlineLevel="0" collapsed="false">
      <c r="A62" s="0" t="n">
        <v>182</v>
      </c>
      <c r="B62" s="0" t="s">
        <v>96</v>
      </c>
      <c r="C62" s="0" t="s">
        <v>226</v>
      </c>
      <c r="D62" s="0" t="s">
        <v>227</v>
      </c>
      <c r="E62" s="0" t="s">
        <v>228</v>
      </c>
      <c r="F62" s="0" t="n">
        <v>2023</v>
      </c>
      <c r="G62" s="0" t="n">
        <v>20.7447846041834</v>
      </c>
    </row>
    <row r="63" customFormat="false" ht="12.8" hidden="false" customHeight="false" outlineLevel="0" collapsed="false">
      <c r="A63" s="0" t="n">
        <v>185</v>
      </c>
      <c r="B63" s="0" t="s">
        <v>89</v>
      </c>
      <c r="C63" s="0" t="s">
        <v>226</v>
      </c>
      <c r="D63" s="0" t="s">
        <v>227</v>
      </c>
      <c r="E63" s="0" t="s">
        <v>228</v>
      </c>
      <c r="F63" s="0" t="n">
        <v>2023</v>
      </c>
      <c r="G63" s="0" t="n">
        <v>48.8188562939993</v>
      </c>
    </row>
    <row r="64" customFormat="false" ht="12.8" hidden="false" customHeight="false" outlineLevel="0" collapsed="false">
      <c r="A64" s="0" t="n">
        <v>188</v>
      </c>
      <c r="B64" s="0" t="s">
        <v>36</v>
      </c>
      <c r="C64" s="0" t="s">
        <v>226</v>
      </c>
      <c r="D64" s="0" t="s">
        <v>227</v>
      </c>
      <c r="E64" s="0" t="s">
        <v>228</v>
      </c>
      <c r="F64" s="0" t="n">
        <v>2023</v>
      </c>
      <c r="G64" s="0" t="n">
        <v>37.4390101849976</v>
      </c>
    </row>
    <row r="65" customFormat="false" ht="12.8" hidden="false" customHeight="false" outlineLevel="0" collapsed="false">
      <c r="A65" s="0" t="n">
        <v>191</v>
      </c>
      <c r="B65" s="0" t="s">
        <v>102</v>
      </c>
      <c r="C65" s="0" t="s">
        <v>226</v>
      </c>
      <c r="D65" s="0" t="s">
        <v>227</v>
      </c>
      <c r="E65" s="0" t="s">
        <v>228</v>
      </c>
      <c r="F65" s="0" t="n">
        <v>2023</v>
      </c>
      <c r="G65" s="0" t="n">
        <v>25.2397600826837</v>
      </c>
    </row>
    <row r="66" customFormat="false" ht="12.8" hidden="false" customHeight="false" outlineLevel="0" collapsed="false">
      <c r="A66" s="0" t="n">
        <v>194</v>
      </c>
      <c r="B66" s="0" t="s">
        <v>97</v>
      </c>
      <c r="C66" s="0" t="s">
        <v>226</v>
      </c>
      <c r="D66" s="0" t="s">
        <v>227</v>
      </c>
      <c r="E66" s="0" t="s">
        <v>228</v>
      </c>
      <c r="F66" s="0" t="n">
        <v>2023</v>
      </c>
      <c r="G66" s="0" t="n">
        <v>31.8893837177572</v>
      </c>
    </row>
    <row r="67" customFormat="false" ht="12.8" hidden="false" customHeight="false" outlineLevel="0" collapsed="false">
      <c r="A67" s="0" t="n">
        <v>197</v>
      </c>
      <c r="B67" s="0" t="s">
        <v>18</v>
      </c>
      <c r="C67" s="0" t="s">
        <v>226</v>
      </c>
      <c r="D67" s="0" t="s">
        <v>227</v>
      </c>
      <c r="E67" s="0" t="s">
        <v>228</v>
      </c>
      <c r="F67" s="0" t="n">
        <v>2023</v>
      </c>
      <c r="G67" s="0" t="n">
        <v>20.2877070614117</v>
      </c>
    </row>
    <row r="68" customFormat="false" ht="12.8" hidden="false" customHeight="false" outlineLevel="0" collapsed="false">
      <c r="A68" s="0" t="n">
        <v>200</v>
      </c>
      <c r="B68" s="0" t="s">
        <v>116</v>
      </c>
      <c r="C68" s="0" t="s">
        <v>226</v>
      </c>
      <c r="D68" s="0" t="s">
        <v>227</v>
      </c>
      <c r="E68" s="0" t="s">
        <v>228</v>
      </c>
      <c r="F68" s="0" t="n">
        <v>2023</v>
      </c>
      <c r="G68" s="0" t="n">
        <v>64.1913182800479</v>
      </c>
    </row>
    <row r="69" customFormat="false" ht="12.8" hidden="false" customHeight="false" outlineLevel="0" collapsed="false">
      <c r="A69" s="0" t="n">
        <v>203</v>
      </c>
      <c r="B69" s="0" t="s">
        <v>98</v>
      </c>
      <c r="C69" s="0" t="s">
        <v>226</v>
      </c>
      <c r="D69" s="0" t="s">
        <v>227</v>
      </c>
      <c r="E69" s="0" t="s">
        <v>228</v>
      </c>
      <c r="F69" s="0" t="n">
        <v>2023</v>
      </c>
      <c r="G69" s="0" t="n">
        <v>14.2454753970578</v>
      </c>
    </row>
    <row r="70" customFormat="false" ht="12.8" hidden="false" customHeight="false" outlineLevel="0" collapsed="false">
      <c r="A70" s="0" t="n">
        <v>206</v>
      </c>
      <c r="B70" s="0" t="s">
        <v>237</v>
      </c>
      <c r="C70" s="0" t="s">
        <v>226</v>
      </c>
      <c r="D70" s="0" t="s">
        <v>227</v>
      </c>
      <c r="E70" s="0" t="s">
        <v>228</v>
      </c>
      <c r="F70" s="0" t="n">
        <v>2023</v>
      </c>
      <c r="G70" s="0" t="n">
        <v>14.6209582342109</v>
      </c>
    </row>
    <row r="71" customFormat="false" ht="12.8" hidden="false" customHeight="false" outlineLevel="0" collapsed="false">
      <c r="A71" s="0" t="n">
        <v>209</v>
      </c>
      <c r="B71" s="0" t="s">
        <v>103</v>
      </c>
      <c r="C71" s="0" t="s">
        <v>226</v>
      </c>
      <c r="D71" s="0" t="s">
        <v>227</v>
      </c>
      <c r="E71" s="0" t="s">
        <v>228</v>
      </c>
      <c r="F71" s="0" t="n">
        <v>2023</v>
      </c>
      <c r="G71" s="0" t="n">
        <v>68.5504309937471</v>
      </c>
    </row>
    <row r="72" customFormat="false" ht="12.8" hidden="false" customHeight="false" outlineLevel="0" collapsed="false">
      <c r="A72" s="0" t="n">
        <v>212</v>
      </c>
      <c r="B72" s="0" t="s">
        <v>73</v>
      </c>
      <c r="C72" s="0" t="s">
        <v>226</v>
      </c>
      <c r="D72" s="0" t="s">
        <v>227</v>
      </c>
      <c r="E72" s="0" t="s">
        <v>228</v>
      </c>
      <c r="F72" s="0" t="n">
        <v>2023</v>
      </c>
      <c r="G72" s="0" t="n">
        <v>21.6237419247623</v>
      </c>
    </row>
    <row r="73" customFormat="false" ht="12.8" hidden="false" customHeight="false" outlineLevel="0" collapsed="false">
      <c r="A73" s="0" t="n">
        <v>215</v>
      </c>
      <c r="B73" s="0" t="s">
        <v>170</v>
      </c>
      <c r="C73" s="0" t="s">
        <v>226</v>
      </c>
      <c r="D73" s="0" t="s">
        <v>227</v>
      </c>
      <c r="E73" s="0" t="s">
        <v>228</v>
      </c>
      <c r="F73" s="0" t="n">
        <v>2023</v>
      </c>
      <c r="G73" s="0" t="n">
        <v>8.98509988879443</v>
      </c>
    </row>
    <row r="74" customFormat="false" ht="12.8" hidden="false" customHeight="false" outlineLevel="0" collapsed="false">
      <c r="A74" s="0" t="n">
        <v>218</v>
      </c>
      <c r="B74" s="0" t="s">
        <v>28</v>
      </c>
      <c r="C74" s="0" t="s">
        <v>226</v>
      </c>
      <c r="D74" s="0" t="s">
        <v>227</v>
      </c>
      <c r="E74" s="0" t="s">
        <v>228</v>
      </c>
      <c r="F74" s="0" t="n">
        <v>2023</v>
      </c>
      <c r="G74" s="0" t="n">
        <v>18.6369982563107</v>
      </c>
    </row>
    <row r="75" customFormat="false" ht="12.8" hidden="false" customHeight="false" outlineLevel="0" collapsed="false">
      <c r="A75" s="0" t="n">
        <v>221</v>
      </c>
      <c r="B75" s="0" t="s">
        <v>108</v>
      </c>
      <c r="C75" s="0" t="s">
        <v>226</v>
      </c>
      <c r="D75" s="0" t="s">
        <v>227</v>
      </c>
      <c r="E75" s="0" t="s">
        <v>228</v>
      </c>
      <c r="F75" s="0" t="n">
        <v>2023</v>
      </c>
      <c r="G75" s="0" t="n">
        <v>91.9378049816789</v>
      </c>
    </row>
    <row r="76" customFormat="false" ht="12.8" hidden="false" customHeight="false" outlineLevel="0" collapsed="false">
      <c r="A76" s="0" t="n">
        <v>224</v>
      </c>
      <c r="B76" s="0" t="s">
        <v>39</v>
      </c>
      <c r="C76" s="0" t="s">
        <v>226</v>
      </c>
      <c r="D76" s="0" t="s">
        <v>227</v>
      </c>
      <c r="E76" s="0" t="s">
        <v>228</v>
      </c>
      <c r="F76" s="0" t="n">
        <v>2023</v>
      </c>
      <c r="G76" s="0" t="n">
        <v>29.6667672596644</v>
      </c>
    </row>
    <row r="77" customFormat="false" ht="12.8" hidden="false" customHeight="false" outlineLevel="0" collapsed="false">
      <c r="A77" s="0" t="n">
        <v>227</v>
      </c>
      <c r="B77" s="0" t="s">
        <v>41</v>
      </c>
      <c r="C77" s="0" t="s">
        <v>226</v>
      </c>
      <c r="D77" s="0" t="s">
        <v>227</v>
      </c>
      <c r="E77" s="0" t="s">
        <v>228</v>
      </c>
      <c r="F77" s="0" t="n">
        <v>2023</v>
      </c>
      <c r="G77" s="0" t="n">
        <v>62.2920151786375</v>
      </c>
    </row>
    <row r="78" customFormat="false" ht="12.8" hidden="false" customHeight="false" outlineLevel="0" collapsed="false">
      <c r="A78" s="0" t="n">
        <v>230</v>
      </c>
      <c r="B78" s="0" t="s">
        <v>238</v>
      </c>
      <c r="C78" s="0" t="s">
        <v>226</v>
      </c>
      <c r="D78" s="0" t="s">
        <v>227</v>
      </c>
      <c r="E78" s="0" t="s">
        <v>228</v>
      </c>
      <c r="F78" s="0" t="n">
        <v>2023</v>
      </c>
      <c r="G78" s="0" t="n">
        <v>36.4090589665276</v>
      </c>
    </row>
    <row r="79" customFormat="false" ht="12.8" hidden="false" customHeight="false" outlineLevel="0" collapsed="false">
      <c r="A79" s="0" t="n">
        <v>233</v>
      </c>
      <c r="B79" s="0" t="s">
        <v>100</v>
      </c>
      <c r="C79" s="0" t="s">
        <v>226</v>
      </c>
      <c r="D79" s="0" t="s">
        <v>227</v>
      </c>
      <c r="E79" s="0" t="s">
        <v>228</v>
      </c>
      <c r="F79" s="0" t="n">
        <v>2023</v>
      </c>
      <c r="G79" s="0" t="n">
        <v>14.5179494034634</v>
      </c>
    </row>
    <row r="80" customFormat="false" ht="12.8" hidden="false" customHeight="false" outlineLevel="0" collapsed="false">
      <c r="A80" s="0" t="n">
        <v>236</v>
      </c>
      <c r="B80" s="0" t="s">
        <v>239</v>
      </c>
      <c r="C80" s="0" t="s">
        <v>226</v>
      </c>
      <c r="D80" s="0" t="s">
        <v>227</v>
      </c>
      <c r="E80" s="0" t="s">
        <v>228</v>
      </c>
      <c r="F80" s="0" t="n">
        <v>2023</v>
      </c>
      <c r="G80" s="0" t="n">
        <v>24.3484641384721</v>
      </c>
    </row>
    <row r="81" customFormat="false" ht="12.8" hidden="false" customHeight="false" outlineLevel="0" collapsed="false">
      <c r="A81" s="0" t="n">
        <v>239</v>
      </c>
      <c r="B81" s="0" t="s">
        <v>87</v>
      </c>
      <c r="C81" s="0" t="s">
        <v>226</v>
      </c>
      <c r="D81" s="0" t="s">
        <v>227</v>
      </c>
      <c r="E81" s="0" t="s">
        <v>228</v>
      </c>
      <c r="F81" s="0" t="n">
        <v>2023</v>
      </c>
      <c r="G81" s="0" t="n">
        <v>17.3100583736043</v>
      </c>
    </row>
    <row r="82" customFormat="false" ht="12.8" hidden="false" customHeight="false" outlineLevel="0" collapsed="false">
      <c r="A82" s="0" t="n">
        <v>242</v>
      </c>
      <c r="B82" s="0" t="s">
        <v>240</v>
      </c>
      <c r="C82" s="0" t="s">
        <v>226</v>
      </c>
      <c r="D82" s="0" t="s">
        <v>227</v>
      </c>
      <c r="E82" s="0" t="s">
        <v>228</v>
      </c>
      <c r="F82" s="0" t="n">
        <v>2023</v>
      </c>
      <c r="G82" s="0" t="n">
        <v>32.7416036821179</v>
      </c>
    </row>
    <row r="83" customFormat="false" ht="12.8" hidden="false" customHeight="false" outlineLevel="0" collapsed="false">
      <c r="A83" s="0" t="n">
        <v>245</v>
      </c>
      <c r="B83" s="0" t="s">
        <v>241</v>
      </c>
      <c r="C83" s="0" t="s">
        <v>226</v>
      </c>
      <c r="D83" s="0" t="s">
        <v>227</v>
      </c>
      <c r="E83" s="0" t="s">
        <v>228</v>
      </c>
      <c r="F83" s="0" t="n">
        <v>2023</v>
      </c>
      <c r="G83" s="0" t="n">
        <v>30.0550140961922</v>
      </c>
    </row>
    <row r="84" customFormat="false" ht="12.8" hidden="false" customHeight="false" outlineLevel="0" collapsed="false">
      <c r="A84" s="0" t="n">
        <v>248</v>
      </c>
      <c r="B84" s="0" t="s">
        <v>152</v>
      </c>
      <c r="C84" s="0" t="s">
        <v>226</v>
      </c>
      <c r="D84" s="0" t="s">
        <v>227</v>
      </c>
      <c r="E84" s="0" t="s">
        <v>228</v>
      </c>
      <c r="F84" s="0" t="n">
        <v>2023</v>
      </c>
      <c r="G84" s="0" t="n">
        <v>26.0331925348481</v>
      </c>
    </row>
    <row r="85" customFormat="false" ht="12.8" hidden="false" customHeight="false" outlineLevel="0" collapsed="false">
      <c r="A85" s="0" t="n">
        <v>251</v>
      </c>
      <c r="B85" s="0" t="s">
        <v>242</v>
      </c>
      <c r="C85" s="0" t="s">
        <v>226</v>
      </c>
      <c r="D85" s="0" t="s">
        <v>227</v>
      </c>
      <c r="E85" s="0" t="s">
        <v>228</v>
      </c>
      <c r="F85" s="0" t="n">
        <v>2023</v>
      </c>
      <c r="G85" s="0" t="n">
        <v>40.4876444821452</v>
      </c>
    </row>
    <row r="86" customFormat="false" ht="12.8" hidden="false" customHeight="false" outlineLevel="0" collapsed="false">
      <c r="A86" s="0" t="n">
        <v>254</v>
      </c>
      <c r="B86" s="0" t="s">
        <v>114</v>
      </c>
      <c r="C86" s="0" t="s">
        <v>226</v>
      </c>
      <c r="D86" s="0" t="s">
        <v>227</v>
      </c>
      <c r="E86" s="0" t="s">
        <v>228</v>
      </c>
      <c r="F86" s="0" t="n">
        <v>2023</v>
      </c>
      <c r="G86" s="0" t="n">
        <v>14.6872010333738</v>
      </c>
    </row>
    <row r="87" customFormat="false" ht="12.8" hidden="false" customHeight="false" outlineLevel="0" collapsed="false">
      <c r="A87" s="0" t="n">
        <v>257</v>
      </c>
      <c r="B87" s="0" t="s">
        <v>155</v>
      </c>
      <c r="C87" s="0" t="s">
        <v>226</v>
      </c>
      <c r="D87" s="0" t="s">
        <v>227</v>
      </c>
      <c r="E87" s="0" t="s">
        <v>228</v>
      </c>
      <c r="F87" s="0" t="n">
        <v>2023</v>
      </c>
      <c r="G87" s="0" t="n">
        <v>23.3845964670863</v>
      </c>
    </row>
    <row r="88" customFormat="false" ht="12.8" hidden="false" customHeight="false" outlineLevel="0" collapsed="false">
      <c r="A88" s="0" t="n">
        <v>260</v>
      </c>
      <c r="B88" s="0" t="s">
        <v>24</v>
      </c>
      <c r="C88" s="0" t="s">
        <v>226</v>
      </c>
      <c r="D88" s="0" t="s">
        <v>227</v>
      </c>
      <c r="E88" s="0" t="s">
        <v>228</v>
      </c>
      <c r="F88" s="0" t="n">
        <v>2023</v>
      </c>
      <c r="G88" s="0" t="n">
        <v>34.862606026447</v>
      </c>
    </row>
    <row r="89" customFormat="false" ht="12.8" hidden="false" customHeight="false" outlineLevel="0" collapsed="false">
      <c r="A89" s="0" t="n">
        <v>263</v>
      </c>
      <c r="B89" s="0" t="s">
        <v>33</v>
      </c>
      <c r="C89" s="0" t="s">
        <v>226</v>
      </c>
      <c r="D89" s="0" t="s">
        <v>227</v>
      </c>
      <c r="E89" s="0" t="s">
        <v>228</v>
      </c>
      <c r="F89" s="0" t="n">
        <v>2023</v>
      </c>
      <c r="G89" s="0" t="n">
        <v>13.8760006228037</v>
      </c>
    </row>
    <row r="90" customFormat="false" ht="12.8" hidden="false" customHeight="false" outlineLevel="0" collapsed="false">
      <c r="A90" s="0" t="n">
        <v>266</v>
      </c>
      <c r="B90" s="0" t="s">
        <v>243</v>
      </c>
      <c r="C90" s="0" t="s">
        <v>226</v>
      </c>
      <c r="D90" s="0" t="s">
        <v>227</v>
      </c>
      <c r="E90" s="0" t="s">
        <v>228</v>
      </c>
      <c r="F90" s="0" t="n">
        <v>2023</v>
      </c>
      <c r="G90" s="0" t="n">
        <v>27.5937191914906</v>
      </c>
    </row>
    <row r="91" customFormat="false" ht="12.8" hidden="false" customHeight="false" outlineLevel="0" collapsed="false">
      <c r="A91" s="0" t="n">
        <v>269</v>
      </c>
      <c r="B91" s="0" t="s">
        <v>244</v>
      </c>
      <c r="C91" s="0" t="s">
        <v>226</v>
      </c>
      <c r="D91" s="0" t="s">
        <v>227</v>
      </c>
      <c r="E91" s="0" t="s">
        <v>228</v>
      </c>
      <c r="F91" s="0" t="n">
        <v>2023</v>
      </c>
      <c r="G91" s="0" t="n">
        <v>46.7386581223017</v>
      </c>
    </row>
    <row r="92" customFormat="false" ht="12.8" hidden="false" customHeight="false" outlineLevel="0" collapsed="false">
      <c r="A92" s="0" t="n">
        <v>272</v>
      </c>
      <c r="B92" s="0" t="s">
        <v>245</v>
      </c>
      <c r="C92" s="0" t="s">
        <v>226</v>
      </c>
      <c r="D92" s="0" t="s">
        <v>227</v>
      </c>
      <c r="E92" s="0" t="s">
        <v>228</v>
      </c>
      <c r="F92" s="0" t="n">
        <v>2023</v>
      </c>
      <c r="G92" s="0" t="n">
        <v>33.0066993960584</v>
      </c>
    </row>
    <row r="93" customFormat="false" ht="12.8" hidden="false" customHeight="false" outlineLevel="0" collapsed="false">
      <c r="A93" s="0" t="n">
        <v>275</v>
      </c>
      <c r="B93" s="0" t="s">
        <v>8</v>
      </c>
      <c r="C93" s="0" t="s">
        <v>226</v>
      </c>
      <c r="D93" s="0" t="s">
        <v>227</v>
      </c>
      <c r="E93" s="0" t="s">
        <v>228</v>
      </c>
      <c r="F93" s="0" t="n">
        <v>2023</v>
      </c>
      <c r="G93" s="0" t="n">
        <v>15.9358161042773</v>
      </c>
    </row>
    <row r="94" customFormat="false" ht="12.8" hidden="false" customHeight="false" outlineLevel="0" collapsed="false">
      <c r="A94" s="0" t="n">
        <v>278</v>
      </c>
      <c r="B94" s="0" t="s">
        <v>121</v>
      </c>
      <c r="C94" s="0" t="s">
        <v>226</v>
      </c>
      <c r="D94" s="0" t="s">
        <v>227</v>
      </c>
      <c r="E94" s="0" t="s">
        <v>228</v>
      </c>
      <c r="F94" s="0" t="n">
        <v>2023</v>
      </c>
      <c r="G94" s="0" t="n">
        <v>45.1821079662614</v>
      </c>
    </row>
    <row r="95" customFormat="false" ht="12.8" hidden="false" customHeight="false" outlineLevel="0" collapsed="false">
      <c r="A95" s="0" t="n">
        <v>281</v>
      </c>
      <c r="B95" s="0" t="s">
        <v>115</v>
      </c>
      <c r="C95" s="0" t="s">
        <v>226</v>
      </c>
      <c r="D95" s="0" t="s">
        <v>227</v>
      </c>
      <c r="E95" s="0" t="s">
        <v>228</v>
      </c>
      <c r="F95" s="0" t="n">
        <v>2023</v>
      </c>
      <c r="G95" s="0" t="n">
        <v>11.7068032658001</v>
      </c>
    </row>
    <row r="96" customFormat="false" ht="12.8" hidden="false" customHeight="false" outlineLevel="0" collapsed="false">
      <c r="A96" s="0" t="n">
        <v>284</v>
      </c>
      <c r="B96" s="0" t="s">
        <v>197</v>
      </c>
      <c r="C96" s="0" t="s">
        <v>226</v>
      </c>
      <c r="D96" s="0" t="s">
        <v>227</v>
      </c>
      <c r="E96" s="0" t="s">
        <v>228</v>
      </c>
      <c r="F96" s="0" t="n">
        <v>2023</v>
      </c>
      <c r="G96" s="0" t="n">
        <v>42.8696251049622</v>
      </c>
    </row>
    <row r="97" customFormat="false" ht="12.8" hidden="false" customHeight="false" outlineLevel="0" collapsed="false">
      <c r="A97" s="0" t="n">
        <v>287</v>
      </c>
      <c r="B97" s="0" t="s">
        <v>92</v>
      </c>
      <c r="C97" s="0" t="s">
        <v>226</v>
      </c>
      <c r="D97" s="0" t="s">
        <v>227</v>
      </c>
      <c r="E97" s="0" t="s">
        <v>228</v>
      </c>
      <c r="F97" s="0" t="n">
        <v>2023</v>
      </c>
      <c r="G97" s="0" t="n">
        <v>20.2040084944392</v>
      </c>
    </row>
    <row r="98" customFormat="false" ht="12.8" hidden="false" customHeight="false" outlineLevel="0" collapsed="false">
      <c r="A98" s="0" t="n">
        <v>290</v>
      </c>
      <c r="B98" s="0" t="s">
        <v>44</v>
      </c>
      <c r="C98" s="0" t="s">
        <v>226</v>
      </c>
      <c r="D98" s="0" t="s">
        <v>227</v>
      </c>
      <c r="E98" s="0" t="s">
        <v>228</v>
      </c>
      <c r="F98" s="0" t="n">
        <v>2023</v>
      </c>
      <c r="G98" s="0" t="n">
        <v>11.0917012521196</v>
      </c>
    </row>
    <row r="99" customFormat="false" ht="12.8" hidden="false" customHeight="false" outlineLevel="0" collapsed="false">
      <c r="A99" s="0" t="n">
        <v>293</v>
      </c>
      <c r="B99" s="0" t="s">
        <v>74</v>
      </c>
      <c r="C99" s="0" t="s">
        <v>226</v>
      </c>
      <c r="D99" s="0" t="s">
        <v>227</v>
      </c>
      <c r="E99" s="0" t="s">
        <v>228</v>
      </c>
      <c r="F99" s="0" t="n">
        <v>2023</v>
      </c>
      <c r="G99" s="0" t="n">
        <v>18.4524556372431</v>
      </c>
    </row>
    <row r="100" customFormat="false" ht="12.8" hidden="false" customHeight="false" outlineLevel="0" collapsed="false">
      <c r="A100" s="0" t="n">
        <v>296</v>
      </c>
      <c r="B100" s="0" t="s">
        <v>159</v>
      </c>
      <c r="C100" s="0" t="s">
        <v>226</v>
      </c>
      <c r="D100" s="0" t="s">
        <v>227</v>
      </c>
      <c r="E100" s="0" t="s">
        <v>228</v>
      </c>
      <c r="F100" s="0" t="n">
        <v>2023</v>
      </c>
      <c r="G100" s="0" t="n">
        <v>24.6956963314853</v>
      </c>
    </row>
    <row r="101" customFormat="false" ht="12.8" hidden="false" customHeight="false" outlineLevel="0" collapsed="false">
      <c r="A101" s="0" t="n">
        <v>299</v>
      </c>
      <c r="B101" s="0" t="s">
        <v>246</v>
      </c>
      <c r="C101" s="0" t="s">
        <v>226</v>
      </c>
      <c r="D101" s="0" t="s">
        <v>227</v>
      </c>
      <c r="E101" s="0" t="s">
        <v>228</v>
      </c>
      <c r="F101" s="0" t="n">
        <v>2023</v>
      </c>
      <c r="G101" s="0" t="n">
        <v>47.0595374728559</v>
      </c>
    </row>
    <row r="102" customFormat="false" ht="12.8" hidden="false" customHeight="false" outlineLevel="0" collapsed="false">
      <c r="A102" s="0" t="n">
        <v>302</v>
      </c>
      <c r="B102" s="0" t="s">
        <v>129</v>
      </c>
      <c r="C102" s="0" t="s">
        <v>226</v>
      </c>
      <c r="D102" s="0" t="s">
        <v>227</v>
      </c>
      <c r="E102" s="0" t="s">
        <v>228</v>
      </c>
      <c r="F102" s="0" t="n">
        <v>2023</v>
      </c>
      <c r="G102" s="0" t="n">
        <v>19.998756416636</v>
      </c>
    </row>
    <row r="103" customFormat="false" ht="12.8" hidden="false" customHeight="false" outlineLevel="0" collapsed="false">
      <c r="A103" s="0" t="n">
        <v>305</v>
      </c>
      <c r="B103" s="0" t="s">
        <v>247</v>
      </c>
      <c r="C103" s="0" t="s">
        <v>226</v>
      </c>
      <c r="D103" s="0" t="s">
        <v>227</v>
      </c>
      <c r="E103" s="0" t="s">
        <v>228</v>
      </c>
      <c r="F103" s="0" t="n">
        <v>2023</v>
      </c>
      <c r="G103" s="0" t="n">
        <v>65.7186311627491</v>
      </c>
    </row>
    <row r="104" customFormat="false" ht="12.8" hidden="false" customHeight="false" outlineLevel="0" collapsed="false">
      <c r="A104" s="0" t="n">
        <v>308</v>
      </c>
      <c r="B104" s="0" t="s">
        <v>122</v>
      </c>
      <c r="C104" s="0" t="s">
        <v>226</v>
      </c>
      <c r="D104" s="0" t="s">
        <v>227</v>
      </c>
      <c r="E104" s="0" t="s">
        <v>228</v>
      </c>
      <c r="F104" s="0" t="n">
        <v>2023</v>
      </c>
      <c r="G104" s="0" t="n">
        <v>26.9695406596884</v>
      </c>
    </row>
    <row r="105" customFormat="false" ht="12.8" hidden="false" customHeight="false" outlineLevel="0" collapsed="false">
      <c r="A105" s="0" t="n">
        <v>311</v>
      </c>
      <c r="B105" s="0" t="s">
        <v>124</v>
      </c>
      <c r="C105" s="0" t="s">
        <v>226</v>
      </c>
      <c r="D105" s="0" t="s">
        <v>227</v>
      </c>
      <c r="E105" s="0" t="s">
        <v>228</v>
      </c>
      <c r="F105" s="0" t="n">
        <v>2023</v>
      </c>
      <c r="G105" s="0" t="n">
        <v>28.1069375480458</v>
      </c>
    </row>
    <row r="106" customFormat="false" ht="12.8" hidden="false" customHeight="false" outlineLevel="0" collapsed="false">
      <c r="A106" s="0" t="n">
        <v>314</v>
      </c>
      <c r="B106" s="0" t="s">
        <v>80</v>
      </c>
      <c r="C106" s="0" t="s">
        <v>226</v>
      </c>
      <c r="D106" s="0" t="s">
        <v>227</v>
      </c>
      <c r="E106" s="0" t="s">
        <v>228</v>
      </c>
      <c r="F106" s="0" t="n">
        <v>2023</v>
      </c>
      <c r="G106" s="0" t="n">
        <v>7.99882005225824</v>
      </c>
    </row>
    <row r="107" customFormat="false" ht="12.8" hidden="false" customHeight="false" outlineLevel="0" collapsed="false">
      <c r="A107" s="0" t="n">
        <v>317</v>
      </c>
      <c r="B107" s="0" t="s">
        <v>105</v>
      </c>
      <c r="C107" s="0" t="s">
        <v>226</v>
      </c>
      <c r="D107" s="0" t="s">
        <v>227</v>
      </c>
      <c r="E107" s="0" t="s">
        <v>228</v>
      </c>
      <c r="F107" s="0" t="n">
        <v>2023</v>
      </c>
      <c r="G107" s="0" t="n">
        <v>20.7543262230293</v>
      </c>
    </row>
    <row r="108" customFormat="false" ht="12.8" hidden="false" customHeight="false" outlineLevel="0" collapsed="false">
      <c r="A108" s="0" t="n">
        <v>320</v>
      </c>
      <c r="B108" s="0" t="s">
        <v>56</v>
      </c>
      <c r="C108" s="0" t="s">
        <v>226</v>
      </c>
      <c r="D108" s="0" t="s">
        <v>227</v>
      </c>
      <c r="E108" s="0" t="s">
        <v>228</v>
      </c>
      <c r="F108" s="0" t="n">
        <v>2023</v>
      </c>
      <c r="G108" s="0" t="n">
        <v>31.2589643747301</v>
      </c>
    </row>
    <row r="109" customFormat="false" ht="12.8" hidden="false" customHeight="false" outlineLevel="0" collapsed="false">
      <c r="A109" s="0" t="n">
        <v>323</v>
      </c>
      <c r="B109" s="0" t="s">
        <v>12</v>
      </c>
      <c r="C109" s="0" t="s">
        <v>226</v>
      </c>
      <c r="D109" s="0" t="s">
        <v>227</v>
      </c>
      <c r="E109" s="0" t="s">
        <v>228</v>
      </c>
      <c r="F109" s="0" t="n">
        <v>2023</v>
      </c>
      <c r="G109" s="0" t="n">
        <v>17.124758349817</v>
      </c>
    </row>
    <row r="110" customFormat="false" ht="12.8" hidden="false" customHeight="false" outlineLevel="0" collapsed="false">
      <c r="A110" s="0" t="n">
        <v>326</v>
      </c>
      <c r="B110" s="0" t="s">
        <v>160</v>
      </c>
      <c r="C110" s="0" t="s">
        <v>226</v>
      </c>
      <c r="D110" s="0" t="s">
        <v>227</v>
      </c>
      <c r="E110" s="0" t="s">
        <v>228</v>
      </c>
      <c r="F110" s="0" t="n">
        <v>2023</v>
      </c>
      <c r="G110" s="0" t="n">
        <v>30.8482502151714</v>
      </c>
    </row>
    <row r="111" customFormat="false" ht="12.8" hidden="false" customHeight="false" outlineLevel="0" collapsed="false">
      <c r="A111" s="0" t="n">
        <v>329</v>
      </c>
      <c r="B111" s="0" t="s">
        <v>149</v>
      </c>
      <c r="C111" s="0" t="s">
        <v>226</v>
      </c>
      <c r="D111" s="0" t="s">
        <v>227</v>
      </c>
      <c r="E111" s="0" t="s">
        <v>228</v>
      </c>
      <c r="F111" s="0" t="n">
        <v>2023</v>
      </c>
      <c r="G111" s="0" t="n">
        <v>75.8992654053648</v>
      </c>
    </row>
    <row r="112" customFormat="false" ht="12.8" hidden="false" customHeight="false" outlineLevel="0" collapsed="false">
      <c r="A112" s="0" t="n">
        <v>332</v>
      </c>
      <c r="B112" s="0" t="s">
        <v>84</v>
      </c>
      <c r="C112" s="0" t="s">
        <v>226</v>
      </c>
      <c r="D112" s="0" t="s">
        <v>227</v>
      </c>
      <c r="E112" s="0" t="s">
        <v>228</v>
      </c>
      <c r="F112" s="0" t="n">
        <v>2023</v>
      </c>
      <c r="G112" s="0" t="n">
        <v>2.6706857626217</v>
      </c>
    </row>
    <row r="113" customFormat="false" ht="12.8" hidden="false" customHeight="false" outlineLevel="0" collapsed="false">
      <c r="A113" s="0" t="n">
        <v>335</v>
      </c>
      <c r="B113" s="0" t="s">
        <v>22</v>
      </c>
      <c r="C113" s="0" t="s">
        <v>226</v>
      </c>
      <c r="D113" s="0" t="s">
        <v>227</v>
      </c>
      <c r="E113" s="0" t="s">
        <v>228</v>
      </c>
      <c r="F113" s="0" t="n">
        <v>2023</v>
      </c>
      <c r="G113" s="0" t="n">
        <v>36.6002498457627</v>
      </c>
    </row>
    <row r="114" customFormat="false" ht="12.8" hidden="false" customHeight="false" outlineLevel="0" collapsed="false">
      <c r="A114" s="0" t="n">
        <v>338</v>
      </c>
      <c r="B114" s="0" t="s">
        <v>3</v>
      </c>
      <c r="C114" s="0" t="s">
        <v>226</v>
      </c>
      <c r="D114" s="0" t="s">
        <v>227</v>
      </c>
      <c r="E114" s="0" t="s">
        <v>228</v>
      </c>
      <c r="F114" s="0" t="n">
        <v>2023</v>
      </c>
      <c r="G114" s="0" t="n">
        <v>45.2402504699056</v>
      </c>
    </row>
    <row r="115" customFormat="false" ht="12.8" hidden="false" customHeight="false" outlineLevel="0" collapsed="false">
      <c r="A115" s="0" t="n">
        <v>341</v>
      </c>
      <c r="B115" s="0" t="s">
        <v>60</v>
      </c>
      <c r="C115" s="0" t="s">
        <v>226</v>
      </c>
      <c r="D115" s="0" t="s">
        <v>227</v>
      </c>
      <c r="E115" s="0" t="s">
        <v>228</v>
      </c>
      <c r="F115" s="0" t="n">
        <v>2023</v>
      </c>
      <c r="G115" s="0" t="n">
        <v>59.1542973891879</v>
      </c>
    </row>
    <row r="116" customFormat="false" ht="12.8" hidden="false" customHeight="false" outlineLevel="0" collapsed="false">
      <c r="A116" s="0" t="n">
        <v>344</v>
      </c>
      <c r="B116" s="0" t="s">
        <v>10</v>
      </c>
      <c r="C116" s="0" t="s">
        <v>226</v>
      </c>
      <c r="D116" s="0" t="s">
        <v>227</v>
      </c>
      <c r="E116" s="0" t="s">
        <v>228</v>
      </c>
      <c r="F116" s="0" t="n">
        <v>2023</v>
      </c>
      <c r="G116" s="0" t="n">
        <v>45.8858568886809</v>
      </c>
    </row>
    <row r="117" customFormat="false" ht="12.8" hidden="false" customHeight="false" outlineLevel="0" collapsed="false">
      <c r="A117" s="0" t="n">
        <v>347</v>
      </c>
      <c r="B117" s="0" t="s">
        <v>132</v>
      </c>
      <c r="C117" s="0" t="s">
        <v>226</v>
      </c>
      <c r="D117" s="0" t="s">
        <v>227</v>
      </c>
      <c r="E117" s="0" t="s">
        <v>228</v>
      </c>
      <c r="F117" s="0" t="n">
        <v>2023</v>
      </c>
      <c r="G117" s="0" t="n">
        <v>24.1268935083535</v>
      </c>
    </row>
    <row r="118" customFormat="false" ht="12.8" hidden="false" customHeight="false" outlineLevel="0" collapsed="false">
      <c r="A118" s="0" t="n">
        <v>350</v>
      </c>
      <c r="B118" s="0" t="s">
        <v>59</v>
      </c>
      <c r="C118" s="0" t="s">
        <v>226</v>
      </c>
      <c r="D118" s="0" t="s">
        <v>227</v>
      </c>
      <c r="E118" s="0" t="s">
        <v>228</v>
      </c>
      <c r="F118" s="0" t="n">
        <v>2023</v>
      </c>
      <c r="G118" s="0" t="n">
        <v>28.7707909767109</v>
      </c>
    </row>
    <row r="119" customFormat="false" ht="12.8" hidden="false" customHeight="false" outlineLevel="0" collapsed="false">
      <c r="A119" s="0" t="n">
        <v>353</v>
      </c>
      <c r="B119" s="0" t="s">
        <v>4</v>
      </c>
      <c r="C119" s="0" t="s">
        <v>226</v>
      </c>
      <c r="D119" s="0" t="s">
        <v>227</v>
      </c>
      <c r="E119" s="0" t="s">
        <v>228</v>
      </c>
      <c r="F119" s="0" t="n">
        <v>2023</v>
      </c>
      <c r="G119" s="0" t="n">
        <v>20.6832920709354</v>
      </c>
    </row>
    <row r="120" customFormat="false" ht="12.8" hidden="false" customHeight="false" outlineLevel="0" collapsed="false">
      <c r="A120" s="0" t="n">
        <v>356</v>
      </c>
      <c r="B120" s="0" t="s">
        <v>88</v>
      </c>
      <c r="C120" s="0" t="s">
        <v>226</v>
      </c>
      <c r="D120" s="0" t="s">
        <v>227</v>
      </c>
      <c r="E120" s="0" t="s">
        <v>228</v>
      </c>
      <c r="F120" s="0" t="n">
        <v>2023</v>
      </c>
      <c r="G120" s="0" t="n">
        <v>27.0035471001957</v>
      </c>
    </row>
    <row r="121" customFormat="false" ht="12.8" hidden="false" customHeight="false" outlineLevel="0" collapsed="false">
      <c r="A121" s="0" t="n">
        <v>359</v>
      </c>
      <c r="B121" s="0" t="s">
        <v>21</v>
      </c>
      <c r="C121" s="0" t="s">
        <v>226</v>
      </c>
      <c r="D121" s="0" t="s">
        <v>227</v>
      </c>
      <c r="E121" s="0" t="s">
        <v>228</v>
      </c>
      <c r="F121" s="0" t="n">
        <v>2023</v>
      </c>
      <c r="G121" s="0" t="n">
        <v>20.8128047121618</v>
      </c>
    </row>
    <row r="122" customFormat="false" ht="12.8" hidden="false" customHeight="false" outlineLevel="0" collapsed="false">
      <c r="A122" s="0" t="n">
        <v>362</v>
      </c>
      <c r="B122" s="0" t="s">
        <v>125</v>
      </c>
      <c r="C122" s="0" t="s">
        <v>226</v>
      </c>
      <c r="D122" s="0" t="s">
        <v>227</v>
      </c>
      <c r="E122" s="0" t="s">
        <v>228</v>
      </c>
      <c r="F122" s="0" t="n">
        <v>2023</v>
      </c>
      <c r="G122" s="0" t="n">
        <v>24.2531196514354</v>
      </c>
    </row>
    <row r="123" customFormat="false" ht="12.8" hidden="false" customHeight="false" outlineLevel="0" collapsed="false">
      <c r="A123" s="0" t="n">
        <v>365</v>
      </c>
      <c r="B123" s="0" t="s">
        <v>161</v>
      </c>
      <c r="C123" s="0" t="s">
        <v>226</v>
      </c>
      <c r="D123" s="0" t="s">
        <v>227</v>
      </c>
      <c r="E123" s="0" t="s">
        <v>228</v>
      </c>
      <c r="F123" s="0" t="n">
        <v>2023</v>
      </c>
      <c r="G123" s="0" t="n">
        <v>48.622135811787</v>
      </c>
    </row>
    <row r="124" customFormat="false" ht="12.8" hidden="false" customHeight="false" outlineLevel="0" collapsed="false">
      <c r="A124" s="0" t="n">
        <v>368</v>
      </c>
      <c r="B124" s="0" t="s">
        <v>165</v>
      </c>
      <c r="C124" s="0" t="s">
        <v>226</v>
      </c>
      <c r="D124" s="0" t="s">
        <v>227</v>
      </c>
      <c r="E124" s="0" t="s">
        <v>228</v>
      </c>
      <c r="F124" s="0" t="n">
        <v>2023</v>
      </c>
      <c r="G124" s="0" t="n">
        <v>4.08121216259766</v>
      </c>
    </row>
    <row r="125" customFormat="false" ht="12.8" hidden="false" customHeight="false" outlineLevel="0" collapsed="false">
      <c r="A125" s="0" t="n">
        <v>371</v>
      </c>
      <c r="B125" s="0" t="s">
        <v>112</v>
      </c>
      <c r="C125" s="0" t="s">
        <v>226</v>
      </c>
      <c r="D125" s="0" t="s">
        <v>227</v>
      </c>
      <c r="E125" s="0" t="s">
        <v>228</v>
      </c>
      <c r="F125" s="0" t="n">
        <v>2023</v>
      </c>
      <c r="G125" s="0" t="n">
        <v>50.5188998422441</v>
      </c>
    </row>
    <row r="126" customFormat="false" ht="12.8" hidden="false" customHeight="false" outlineLevel="0" collapsed="false">
      <c r="A126" s="0" t="n">
        <v>374</v>
      </c>
      <c r="B126" s="0" t="s">
        <v>62</v>
      </c>
      <c r="C126" s="0" t="s">
        <v>226</v>
      </c>
      <c r="D126" s="0" t="s">
        <v>227</v>
      </c>
      <c r="E126" s="0" t="s">
        <v>228</v>
      </c>
      <c r="F126" s="0" t="n">
        <v>2023</v>
      </c>
      <c r="G126" s="0" t="n">
        <v>49.7207023952876</v>
      </c>
    </row>
    <row r="127" customFormat="false" ht="12.8" hidden="false" customHeight="false" outlineLevel="0" collapsed="false">
      <c r="A127" s="0" t="n">
        <v>377</v>
      </c>
      <c r="B127" s="0" t="s">
        <v>91</v>
      </c>
      <c r="C127" s="0" t="s">
        <v>226</v>
      </c>
      <c r="D127" s="0" t="s">
        <v>227</v>
      </c>
      <c r="E127" s="0" t="s">
        <v>228</v>
      </c>
      <c r="F127" s="0" t="n">
        <v>2023</v>
      </c>
      <c r="G127" s="0" t="n">
        <v>12.6935721632954</v>
      </c>
    </row>
    <row r="128" customFormat="false" ht="12.8" hidden="false" customHeight="false" outlineLevel="0" collapsed="false">
      <c r="A128" s="0" t="n">
        <v>380</v>
      </c>
      <c r="B128" s="0" t="s">
        <v>81</v>
      </c>
      <c r="C128" s="0" t="s">
        <v>226</v>
      </c>
      <c r="D128" s="0" t="s">
        <v>227</v>
      </c>
      <c r="E128" s="0" t="s">
        <v>228</v>
      </c>
      <c r="F128" s="0" t="n">
        <v>2023</v>
      </c>
      <c r="G128" s="0" t="n">
        <v>70.5052302335606</v>
      </c>
    </row>
    <row r="129" customFormat="false" ht="12.8" hidden="false" customHeight="false" outlineLevel="0" collapsed="false">
      <c r="A129" s="0" t="n">
        <v>383</v>
      </c>
      <c r="B129" s="0" t="s">
        <v>131</v>
      </c>
      <c r="C129" s="0" t="s">
        <v>226</v>
      </c>
      <c r="D129" s="0" t="s">
        <v>227</v>
      </c>
      <c r="E129" s="0" t="s">
        <v>228</v>
      </c>
      <c r="F129" s="0" t="n">
        <v>2023</v>
      </c>
      <c r="G129" s="0" t="n">
        <v>34.1348675234345</v>
      </c>
    </row>
    <row r="130" customFormat="false" ht="12.8" hidden="false" customHeight="false" outlineLevel="0" collapsed="false">
      <c r="A130" s="0" t="n">
        <v>386</v>
      </c>
      <c r="B130" s="0" t="s">
        <v>13</v>
      </c>
      <c r="C130" s="0" t="s">
        <v>226</v>
      </c>
      <c r="D130" s="0" t="s">
        <v>227</v>
      </c>
      <c r="E130" s="0" t="s">
        <v>228</v>
      </c>
      <c r="F130" s="0" t="n">
        <v>2023</v>
      </c>
      <c r="G130" s="0" t="n">
        <v>14.0617384692384</v>
      </c>
    </row>
    <row r="131" customFormat="false" ht="12.8" hidden="false" customHeight="false" outlineLevel="0" collapsed="false">
      <c r="A131" s="0" t="n">
        <v>389</v>
      </c>
      <c r="B131" s="0" t="s">
        <v>248</v>
      </c>
      <c r="C131" s="0" t="s">
        <v>226</v>
      </c>
      <c r="D131" s="0" t="s">
        <v>227</v>
      </c>
      <c r="E131" s="0" t="s">
        <v>228</v>
      </c>
      <c r="F131" s="0" t="n">
        <v>2023</v>
      </c>
      <c r="G131" s="0" t="n">
        <v>33.7140639369511</v>
      </c>
    </row>
    <row r="132" customFormat="false" ht="12.8" hidden="false" customHeight="false" outlineLevel="0" collapsed="false">
      <c r="A132" s="0" t="n">
        <v>392</v>
      </c>
      <c r="B132" s="0" t="s">
        <v>27</v>
      </c>
      <c r="C132" s="0" t="s">
        <v>226</v>
      </c>
      <c r="D132" s="0" t="s">
        <v>227</v>
      </c>
      <c r="E132" s="0" t="s">
        <v>228</v>
      </c>
      <c r="F132" s="0" t="n">
        <v>2023</v>
      </c>
      <c r="G132" s="0" t="n">
        <v>12.1695971938666</v>
      </c>
    </row>
    <row r="133" customFormat="false" ht="12.8" hidden="false" customHeight="false" outlineLevel="0" collapsed="false">
      <c r="A133" s="0" t="n">
        <v>395</v>
      </c>
      <c r="B133" s="0" t="s">
        <v>164</v>
      </c>
      <c r="C133" s="0" t="s">
        <v>226</v>
      </c>
      <c r="D133" s="0" t="s">
        <v>227</v>
      </c>
      <c r="E133" s="0" t="s">
        <v>228</v>
      </c>
      <c r="F133" s="0" t="n">
        <v>2023</v>
      </c>
      <c r="G133" s="0" t="n">
        <v>19.5383868024236</v>
      </c>
    </row>
    <row r="134" customFormat="false" ht="12.8" hidden="false" customHeight="false" outlineLevel="0" collapsed="false">
      <c r="A134" s="0" t="n">
        <v>398</v>
      </c>
      <c r="B134" s="0" t="s">
        <v>70</v>
      </c>
      <c r="C134" s="0" t="s">
        <v>226</v>
      </c>
      <c r="D134" s="0" t="s">
        <v>227</v>
      </c>
      <c r="E134" s="0" t="s">
        <v>228</v>
      </c>
      <c r="F134" s="0" t="n">
        <v>2023</v>
      </c>
      <c r="G134" s="0" t="n">
        <v>40.5756618107609</v>
      </c>
    </row>
    <row r="135" customFormat="false" ht="12.8" hidden="false" customHeight="false" outlineLevel="0" collapsed="false">
      <c r="A135" s="0" t="n">
        <v>401</v>
      </c>
      <c r="B135" s="0" t="s">
        <v>85</v>
      </c>
      <c r="C135" s="0" t="s">
        <v>226</v>
      </c>
      <c r="D135" s="0" t="s">
        <v>227</v>
      </c>
      <c r="E135" s="0" t="s">
        <v>228</v>
      </c>
      <c r="F135" s="0" t="n">
        <v>2023</v>
      </c>
      <c r="G135" s="0" t="n">
        <v>14.4078095839037</v>
      </c>
    </row>
    <row r="136" customFormat="false" ht="12.8" hidden="false" customHeight="false" outlineLevel="0" collapsed="false">
      <c r="A136" s="0" t="n">
        <v>404</v>
      </c>
      <c r="B136" s="0" t="s">
        <v>49</v>
      </c>
      <c r="C136" s="0" t="s">
        <v>226</v>
      </c>
      <c r="D136" s="0" t="s">
        <v>227</v>
      </c>
      <c r="E136" s="0" t="s">
        <v>228</v>
      </c>
      <c r="F136" s="0" t="n">
        <v>2023</v>
      </c>
      <c r="G136" s="0" t="n">
        <v>13.5145484680172</v>
      </c>
    </row>
    <row r="137" customFormat="false" ht="12.8" hidden="false" customHeight="false" outlineLevel="0" collapsed="false">
      <c r="A137" s="0" t="n">
        <v>407</v>
      </c>
      <c r="B137" s="0" t="s">
        <v>126</v>
      </c>
      <c r="C137" s="0" t="s">
        <v>226</v>
      </c>
      <c r="D137" s="0" t="s">
        <v>227</v>
      </c>
      <c r="E137" s="0" t="s">
        <v>228</v>
      </c>
      <c r="F137" s="0" t="n">
        <v>2023</v>
      </c>
      <c r="G137" s="0" t="n">
        <v>68.3444448721301</v>
      </c>
    </row>
    <row r="138" customFormat="false" ht="12.8" hidden="false" customHeight="false" outlineLevel="0" collapsed="false">
      <c r="A138" s="0" t="n">
        <v>410</v>
      </c>
      <c r="B138" s="0" t="s">
        <v>174</v>
      </c>
      <c r="C138" s="0" t="s">
        <v>226</v>
      </c>
      <c r="D138" s="0" t="s">
        <v>227</v>
      </c>
      <c r="E138" s="0" t="s">
        <v>228</v>
      </c>
      <c r="F138" s="0" t="n">
        <v>2023</v>
      </c>
      <c r="G138" s="0" t="n">
        <v>11.1771642521126</v>
      </c>
    </row>
    <row r="139" customFormat="false" ht="12.8" hidden="false" customHeight="false" outlineLevel="0" collapsed="false">
      <c r="A139" s="0" t="n">
        <v>413</v>
      </c>
      <c r="B139" s="0" t="s">
        <v>138</v>
      </c>
      <c r="C139" s="0" t="s">
        <v>226</v>
      </c>
      <c r="D139" s="0" t="s">
        <v>227</v>
      </c>
      <c r="E139" s="0" t="s">
        <v>228</v>
      </c>
      <c r="F139" s="0" t="n">
        <v>2023</v>
      </c>
      <c r="G139" s="0" t="n">
        <v>40.9043994931433</v>
      </c>
    </row>
    <row r="140" customFormat="false" ht="12.8" hidden="false" customHeight="false" outlineLevel="0" collapsed="false">
      <c r="A140" s="0" t="n">
        <v>416</v>
      </c>
      <c r="B140" s="0" t="s">
        <v>148</v>
      </c>
      <c r="C140" s="0" t="s">
        <v>226</v>
      </c>
      <c r="D140" s="0" t="s">
        <v>227</v>
      </c>
      <c r="E140" s="0" t="s">
        <v>228</v>
      </c>
      <c r="F140" s="0" t="n">
        <v>2023</v>
      </c>
      <c r="G140" s="0" t="n">
        <v>61.8235771771647</v>
      </c>
    </row>
    <row r="141" customFormat="false" ht="12.8" hidden="false" customHeight="false" outlineLevel="0" collapsed="false">
      <c r="A141" s="0" t="n">
        <v>419</v>
      </c>
      <c r="B141" s="0" t="s">
        <v>75</v>
      </c>
      <c r="C141" s="0" t="s">
        <v>226</v>
      </c>
      <c r="D141" s="0" t="s">
        <v>227</v>
      </c>
      <c r="E141" s="0" t="s">
        <v>228</v>
      </c>
      <c r="F141" s="0" t="n">
        <v>2023</v>
      </c>
      <c r="G141" s="0" t="n">
        <v>53.7381027958505</v>
      </c>
    </row>
    <row r="142" customFormat="false" ht="12.8" hidden="false" customHeight="false" outlineLevel="0" collapsed="false">
      <c r="A142" s="0" t="n">
        <v>422</v>
      </c>
      <c r="B142" s="0" t="s">
        <v>104</v>
      </c>
      <c r="C142" s="0" t="s">
        <v>226</v>
      </c>
      <c r="D142" s="0" t="s">
        <v>227</v>
      </c>
      <c r="E142" s="0" t="s">
        <v>228</v>
      </c>
      <c r="F142" s="0" t="n">
        <v>2023</v>
      </c>
      <c r="G142" s="0" t="n">
        <v>12.4934240982336</v>
      </c>
    </row>
    <row r="143" customFormat="false" ht="12.8" hidden="false" customHeight="false" outlineLevel="0" collapsed="false">
      <c r="A143" s="0" t="n">
        <v>425</v>
      </c>
      <c r="B143" s="0" t="s">
        <v>142</v>
      </c>
      <c r="C143" s="0" t="s">
        <v>226</v>
      </c>
      <c r="D143" s="0" t="s">
        <v>227</v>
      </c>
      <c r="E143" s="0" t="s">
        <v>228</v>
      </c>
      <c r="F143" s="0" t="n">
        <v>2023</v>
      </c>
      <c r="G143" s="0" t="n">
        <v>21.1332912765198</v>
      </c>
    </row>
    <row r="144" customFormat="false" ht="12.8" hidden="false" customHeight="false" outlineLevel="0" collapsed="false">
      <c r="A144" s="0" t="n">
        <v>428</v>
      </c>
      <c r="B144" s="0" t="s">
        <v>119</v>
      </c>
      <c r="C144" s="0" t="s">
        <v>226</v>
      </c>
      <c r="D144" s="0" t="s">
        <v>227</v>
      </c>
      <c r="E144" s="0" t="s">
        <v>228</v>
      </c>
      <c r="F144" s="0" t="n">
        <v>2023</v>
      </c>
      <c r="G144" s="0" t="n">
        <v>85.4494803015057</v>
      </c>
    </row>
    <row r="145" customFormat="false" ht="12.8" hidden="false" customHeight="false" outlineLevel="0" collapsed="false">
      <c r="A145" s="0" t="n">
        <v>431</v>
      </c>
      <c r="B145" s="0" t="s">
        <v>143</v>
      </c>
      <c r="C145" s="0" t="s">
        <v>226</v>
      </c>
      <c r="D145" s="0" t="s">
        <v>227</v>
      </c>
      <c r="E145" s="0" t="s">
        <v>228</v>
      </c>
      <c r="F145" s="0" t="n">
        <v>2023</v>
      </c>
      <c r="G145" s="0" t="n">
        <v>31.7770348556291</v>
      </c>
    </row>
    <row r="146" customFormat="false" ht="12.8" hidden="false" customHeight="false" outlineLevel="0" collapsed="false">
      <c r="A146" s="0" t="n">
        <v>434</v>
      </c>
      <c r="B146" s="0" t="s">
        <v>5</v>
      </c>
      <c r="C146" s="0" t="s">
        <v>226</v>
      </c>
      <c r="D146" s="0" t="s">
        <v>227</v>
      </c>
      <c r="E146" s="0" t="s">
        <v>228</v>
      </c>
      <c r="F146" s="0" t="n">
        <v>2023</v>
      </c>
      <c r="G146" s="0" t="n">
        <v>37.8314182732688</v>
      </c>
    </row>
    <row r="147" customFormat="false" ht="12.8" hidden="false" customHeight="false" outlineLevel="0" collapsed="false">
      <c r="A147" s="0" t="n">
        <v>437</v>
      </c>
      <c r="B147" s="0" t="s">
        <v>37</v>
      </c>
      <c r="C147" s="0" t="s">
        <v>226</v>
      </c>
      <c r="D147" s="0" t="s">
        <v>227</v>
      </c>
      <c r="E147" s="0" t="s">
        <v>228</v>
      </c>
      <c r="F147" s="0" t="n">
        <v>2023</v>
      </c>
      <c r="G147" s="0" t="n">
        <v>13.2023544975433</v>
      </c>
    </row>
    <row r="148" customFormat="false" ht="12.8" hidden="false" customHeight="false" outlineLevel="0" collapsed="false">
      <c r="A148" s="0" t="n">
        <v>440</v>
      </c>
      <c r="B148" s="0" t="s">
        <v>249</v>
      </c>
      <c r="C148" s="0" t="s">
        <v>226</v>
      </c>
      <c r="D148" s="0" t="s">
        <v>227</v>
      </c>
      <c r="E148" s="0" t="s">
        <v>228</v>
      </c>
      <c r="F148" s="0" t="n">
        <v>2023</v>
      </c>
      <c r="G148" s="0" t="n">
        <v>55.4023845136887</v>
      </c>
    </row>
    <row r="149" customFormat="false" ht="12.8" hidden="false" customHeight="false" outlineLevel="0" collapsed="false">
      <c r="A149" s="0" t="n">
        <v>443</v>
      </c>
      <c r="B149" s="0" t="s">
        <v>153</v>
      </c>
      <c r="C149" s="0" t="s">
        <v>226</v>
      </c>
      <c r="D149" s="0" t="s">
        <v>227</v>
      </c>
      <c r="E149" s="0" t="s">
        <v>228</v>
      </c>
      <c r="F149" s="0" t="n">
        <v>2023</v>
      </c>
      <c r="G149" s="0" t="n">
        <v>44.7558231177013</v>
      </c>
    </row>
    <row r="150" customFormat="false" ht="12.8" hidden="false" customHeight="false" outlineLevel="0" collapsed="false">
      <c r="A150" s="0" t="n">
        <v>446</v>
      </c>
      <c r="B150" s="0" t="s">
        <v>2</v>
      </c>
      <c r="C150" s="0" t="s">
        <v>226</v>
      </c>
      <c r="D150" s="0" t="s">
        <v>227</v>
      </c>
      <c r="E150" s="0" t="s">
        <v>228</v>
      </c>
      <c r="F150" s="0" t="n">
        <v>2023</v>
      </c>
      <c r="G150" s="0" t="n">
        <v>12.1375451283586</v>
      </c>
    </row>
    <row r="151" customFormat="false" ht="12.8" hidden="false" customHeight="false" outlineLevel="0" collapsed="false">
      <c r="A151" s="0" t="n">
        <v>449</v>
      </c>
      <c r="B151" s="0" t="s">
        <v>250</v>
      </c>
      <c r="C151" s="0" t="s">
        <v>226</v>
      </c>
      <c r="D151" s="0" t="s">
        <v>227</v>
      </c>
      <c r="E151" s="0" t="s">
        <v>228</v>
      </c>
      <c r="F151" s="0" t="n">
        <v>2023</v>
      </c>
      <c r="G151" s="0" t="n">
        <v>9.78059628025964</v>
      </c>
    </row>
    <row r="152" customFormat="false" ht="12.8" hidden="false" customHeight="false" outlineLevel="0" collapsed="false">
      <c r="A152" s="0" t="n">
        <v>452</v>
      </c>
      <c r="B152" s="0" t="s">
        <v>31</v>
      </c>
      <c r="C152" s="0" t="s">
        <v>226</v>
      </c>
      <c r="D152" s="0" t="s">
        <v>227</v>
      </c>
      <c r="E152" s="0" t="s">
        <v>228</v>
      </c>
      <c r="F152" s="0" t="n">
        <v>2023</v>
      </c>
      <c r="G152" s="0" t="n">
        <v>53.5304469791845</v>
      </c>
    </row>
    <row r="153" customFormat="false" ht="12.8" hidden="false" customHeight="false" outlineLevel="0" collapsed="false">
      <c r="A153" s="0" t="n">
        <v>455</v>
      </c>
      <c r="B153" s="0" t="s">
        <v>109</v>
      </c>
      <c r="C153" s="0" t="s">
        <v>226</v>
      </c>
      <c r="D153" s="0" t="s">
        <v>227</v>
      </c>
      <c r="E153" s="0" t="s">
        <v>228</v>
      </c>
      <c r="F153" s="0" t="n">
        <v>2023</v>
      </c>
      <c r="G153" s="0" t="n">
        <v>29.1769727309138</v>
      </c>
    </row>
    <row r="154" customFormat="false" ht="12.8" hidden="false" customHeight="false" outlineLevel="0" collapsed="false">
      <c r="A154" s="0" t="n">
        <v>458</v>
      </c>
      <c r="B154" s="0" t="s">
        <v>52</v>
      </c>
      <c r="C154" s="0" t="s">
        <v>226</v>
      </c>
      <c r="D154" s="0" t="s">
        <v>227</v>
      </c>
      <c r="E154" s="0" t="s">
        <v>228</v>
      </c>
      <c r="F154" s="0" t="n">
        <v>2023</v>
      </c>
      <c r="G154" s="0" t="n">
        <v>16.18901378613</v>
      </c>
    </row>
    <row r="155" customFormat="false" ht="12.8" hidden="false" customHeight="false" outlineLevel="0" collapsed="false">
      <c r="A155" s="0" t="n">
        <v>461</v>
      </c>
      <c r="B155" s="0" t="s">
        <v>134</v>
      </c>
      <c r="C155" s="0" t="s">
        <v>226</v>
      </c>
      <c r="D155" s="0" t="s">
        <v>227</v>
      </c>
      <c r="E155" s="0" t="s">
        <v>228</v>
      </c>
      <c r="F155" s="0" t="n">
        <v>2023</v>
      </c>
      <c r="G155" s="0" t="n">
        <v>16.9637328002922</v>
      </c>
    </row>
    <row r="156" customFormat="false" ht="12.8" hidden="false" customHeight="false" outlineLevel="0" collapsed="false">
      <c r="A156" s="0" t="n">
        <v>464</v>
      </c>
      <c r="B156" s="0" t="s">
        <v>251</v>
      </c>
      <c r="C156" s="0" t="s">
        <v>226</v>
      </c>
      <c r="D156" s="0" t="s">
        <v>227</v>
      </c>
      <c r="E156" s="0" t="s">
        <v>228</v>
      </c>
      <c r="F156" s="0" t="n">
        <v>2023</v>
      </c>
      <c r="G156" s="0" t="n">
        <v>48.452050390708</v>
      </c>
    </row>
    <row r="157" customFormat="false" ht="12.8" hidden="false" customHeight="false" outlineLevel="0" collapsed="false">
      <c r="A157" s="0" t="n">
        <v>467</v>
      </c>
      <c r="B157" s="0" t="s">
        <v>107</v>
      </c>
      <c r="C157" s="0" t="s">
        <v>226</v>
      </c>
      <c r="D157" s="0" t="s">
        <v>227</v>
      </c>
      <c r="E157" s="0" t="s">
        <v>228</v>
      </c>
      <c r="F157" s="0" t="n">
        <v>2023</v>
      </c>
      <c r="G157" s="0" t="n">
        <v>9.78407722044121</v>
      </c>
    </row>
    <row r="158" customFormat="false" ht="12.8" hidden="false" customHeight="false" outlineLevel="0" collapsed="false">
      <c r="A158" s="0" t="n">
        <v>470</v>
      </c>
      <c r="B158" s="0" t="s">
        <v>146</v>
      </c>
      <c r="C158" s="0" t="s">
        <v>226</v>
      </c>
      <c r="D158" s="0" t="s">
        <v>227</v>
      </c>
      <c r="E158" s="0" t="s">
        <v>228</v>
      </c>
      <c r="F158" s="0" t="n">
        <v>2023</v>
      </c>
      <c r="G158" s="0" t="n">
        <v>33.283955427712</v>
      </c>
    </row>
    <row r="159" customFormat="false" ht="12.8" hidden="false" customHeight="false" outlineLevel="0" collapsed="false">
      <c r="A159" s="0" t="n">
        <v>473</v>
      </c>
      <c r="B159" s="0" t="s">
        <v>71</v>
      </c>
      <c r="C159" s="0" t="s">
        <v>226</v>
      </c>
      <c r="D159" s="0" t="s">
        <v>227</v>
      </c>
      <c r="E159" s="0" t="s">
        <v>228</v>
      </c>
      <c r="F159" s="0" t="n">
        <v>2023</v>
      </c>
      <c r="G159" s="0" t="n">
        <v>86.881661757848</v>
      </c>
    </row>
    <row r="160" customFormat="false" ht="12.8" hidden="false" customHeight="false" outlineLevel="0" collapsed="false">
      <c r="A160" s="0" t="n">
        <v>476</v>
      </c>
      <c r="B160" s="0" t="s">
        <v>252</v>
      </c>
      <c r="C160" s="0" t="s">
        <v>226</v>
      </c>
      <c r="D160" s="0" t="s">
        <v>227</v>
      </c>
      <c r="E160" s="0" t="s">
        <v>228</v>
      </c>
      <c r="F160" s="0" t="n">
        <v>2023</v>
      </c>
      <c r="G160" s="0" t="n">
        <v>40.579758404537</v>
      </c>
    </row>
    <row r="161" customFormat="false" ht="12.8" hidden="false" customHeight="false" outlineLevel="0" collapsed="false">
      <c r="A161" s="0" t="n">
        <v>479</v>
      </c>
      <c r="B161" s="0" t="s">
        <v>154</v>
      </c>
      <c r="C161" s="0" t="s">
        <v>226</v>
      </c>
      <c r="D161" s="0" t="s">
        <v>227</v>
      </c>
      <c r="E161" s="0" t="s">
        <v>228</v>
      </c>
      <c r="F161" s="0" t="n">
        <v>2023</v>
      </c>
      <c r="G161" s="0" t="n">
        <v>32.3261786054954</v>
      </c>
    </row>
    <row r="162" customFormat="false" ht="12.8" hidden="false" customHeight="false" outlineLevel="0" collapsed="false">
      <c r="A162" s="0" t="n">
        <v>482</v>
      </c>
      <c r="B162" s="0" t="s">
        <v>14</v>
      </c>
      <c r="C162" s="0" t="s">
        <v>226</v>
      </c>
      <c r="D162" s="0" t="s">
        <v>227</v>
      </c>
      <c r="E162" s="0" t="s">
        <v>228</v>
      </c>
      <c r="F162" s="0" t="n">
        <v>2023</v>
      </c>
      <c r="G162" s="0" t="n">
        <v>92.219346213113</v>
      </c>
    </row>
    <row r="163" customFormat="false" ht="12.8" hidden="false" customHeight="false" outlineLevel="0" collapsed="false">
      <c r="A163" s="0" t="n">
        <v>485</v>
      </c>
      <c r="B163" s="0" t="s">
        <v>168</v>
      </c>
      <c r="C163" s="0" t="s">
        <v>226</v>
      </c>
      <c r="D163" s="0" t="s">
        <v>227</v>
      </c>
      <c r="E163" s="0" t="s">
        <v>228</v>
      </c>
      <c r="F163" s="0" t="n">
        <v>2023</v>
      </c>
      <c r="G163" s="0" t="n">
        <v>65.865077218356</v>
      </c>
    </row>
    <row r="164" customFormat="false" ht="12.8" hidden="false" customHeight="false" outlineLevel="0" collapsed="false">
      <c r="A164" s="0" t="n">
        <v>488</v>
      </c>
      <c r="B164" s="0" t="s">
        <v>11</v>
      </c>
      <c r="C164" s="0" t="s">
        <v>226</v>
      </c>
      <c r="D164" s="0" t="s">
        <v>227</v>
      </c>
      <c r="E164" s="0" t="s">
        <v>228</v>
      </c>
      <c r="F164" s="0" t="n">
        <v>2023</v>
      </c>
      <c r="G164" s="0" t="n">
        <v>41.5439981718678</v>
      </c>
    </row>
    <row r="165" customFormat="false" ht="12.8" hidden="false" customHeight="false" outlineLevel="0" collapsed="false">
      <c r="A165" s="0" t="n">
        <v>491</v>
      </c>
      <c r="B165" s="0" t="s">
        <v>20</v>
      </c>
      <c r="C165" s="0" t="s">
        <v>226</v>
      </c>
      <c r="D165" s="0" t="s">
        <v>227</v>
      </c>
      <c r="E165" s="0" t="s">
        <v>228</v>
      </c>
      <c r="F165" s="0" t="n">
        <v>2023</v>
      </c>
      <c r="G165" s="0" t="n">
        <v>99.0437670496172</v>
      </c>
    </row>
    <row r="166" customFormat="false" ht="12.8" hidden="false" customHeight="false" outlineLevel="0" collapsed="false">
      <c r="A166" s="0" t="n">
        <v>494</v>
      </c>
      <c r="B166" s="0" t="s">
        <v>133</v>
      </c>
      <c r="C166" s="0" t="s">
        <v>226</v>
      </c>
      <c r="D166" s="0" t="s">
        <v>227</v>
      </c>
      <c r="E166" s="0" t="s">
        <v>228</v>
      </c>
      <c r="F166" s="0" t="n">
        <v>2023</v>
      </c>
      <c r="G166" s="0" t="n">
        <v>16.9701584623511</v>
      </c>
    </row>
    <row r="167" customFormat="false" ht="12.8" hidden="false" customHeight="false" outlineLevel="0" collapsed="false">
      <c r="A167" s="0" t="n">
        <v>497</v>
      </c>
      <c r="B167" s="0" t="s">
        <v>253</v>
      </c>
      <c r="C167" s="0" t="s">
        <v>226</v>
      </c>
      <c r="D167" s="0" t="s">
        <v>227</v>
      </c>
      <c r="E167" s="0" t="s">
        <v>228</v>
      </c>
      <c r="F167" s="0" t="n">
        <v>2023</v>
      </c>
      <c r="G167" s="0" t="n">
        <v>29.6654079502287</v>
      </c>
    </row>
    <row r="168" customFormat="false" ht="12.8" hidden="false" customHeight="false" outlineLevel="0" collapsed="false">
      <c r="A168" s="0" t="n">
        <v>500</v>
      </c>
      <c r="B168" s="0" t="s">
        <v>110</v>
      </c>
      <c r="C168" s="0" t="s">
        <v>226</v>
      </c>
      <c r="D168" s="0" t="s">
        <v>227</v>
      </c>
      <c r="E168" s="0" t="s">
        <v>228</v>
      </c>
      <c r="F168" s="0" t="n">
        <v>2023</v>
      </c>
      <c r="G168" s="0" t="n">
        <v>92.5414459774688</v>
      </c>
    </row>
    <row r="169" customFormat="false" ht="12.8" hidden="false" customHeight="false" outlineLevel="0" collapsed="false">
      <c r="A169" s="0" t="n">
        <v>503</v>
      </c>
      <c r="B169" s="0" t="s">
        <v>214</v>
      </c>
      <c r="C169" s="0" t="s">
        <v>226</v>
      </c>
      <c r="D169" s="0" t="s">
        <v>227</v>
      </c>
      <c r="E169" s="0" t="s">
        <v>228</v>
      </c>
      <c r="F169" s="0" t="n">
        <v>2023</v>
      </c>
      <c r="G169" s="0" t="n">
        <v>72.7638550360558</v>
      </c>
    </row>
    <row r="170" customFormat="false" ht="12.8" hidden="false" customHeight="false" outlineLevel="0" collapsed="false">
      <c r="A170" s="0" t="n">
        <v>506</v>
      </c>
      <c r="B170" s="0" t="s">
        <v>16</v>
      </c>
      <c r="C170" s="0" t="s">
        <v>226</v>
      </c>
      <c r="D170" s="0" t="s">
        <v>227</v>
      </c>
      <c r="E170" s="0" t="s">
        <v>228</v>
      </c>
      <c r="F170" s="0" t="n">
        <v>2023</v>
      </c>
      <c r="G170" s="0" t="n">
        <v>12.7612934724784</v>
      </c>
    </row>
    <row r="171" customFormat="false" ht="12.8" hidden="false" customHeight="false" outlineLevel="0" collapsed="false">
      <c r="A171" s="0" t="n">
        <v>509</v>
      </c>
      <c r="B171" s="0" t="s">
        <v>254</v>
      </c>
      <c r="C171" s="0" t="s">
        <v>226</v>
      </c>
      <c r="D171" s="0" t="s">
        <v>227</v>
      </c>
      <c r="E171" s="0" t="s">
        <v>228</v>
      </c>
      <c r="F171" s="0" t="n">
        <v>2023</v>
      </c>
      <c r="G171" s="0" t="n">
        <v>67.6318041988802</v>
      </c>
    </row>
    <row r="172" customFormat="false" ht="12.8" hidden="false" customHeight="false" outlineLevel="0" collapsed="false">
      <c r="A172" s="0" t="n">
        <v>512</v>
      </c>
      <c r="B172" s="0" t="s">
        <v>255</v>
      </c>
      <c r="C172" s="0" t="s">
        <v>226</v>
      </c>
      <c r="D172" s="0" t="s">
        <v>227</v>
      </c>
      <c r="E172" s="0" t="s">
        <v>228</v>
      </c>
      <c r="F172" s="0" t="n">
        <v>2023</v>
      </c>
      <c r="G172" s="0" t="n">
        <v>48.3032292435562</v>
      </c>
    </row>
    <row r="173" customFormat="false" ht="12.8" hidden="false" customHeight="false" outlineLevel="0" collapsed="false">
      <c r="A173" s="0" t="n">
        <v>515</v>
      </c>
      <c r="B173" s="0" t="s">
        <v>47</v>
      </c>
      <c r="C173" s="0" t="s">
        <v>226</v>
      </c>
      <c r="D173" s="0" t="s">
        <v>227</v>
      </c>
      <c r="E173" s="0" t="s">
        <v>228</v>
      </c>
      <c r="F173" s="0" t="n">
        <v>2023</v>
      </c>
      <c r="G173" s="0" t="n">
        <v>19.5329487489996</v>
      </c>
    </row>
    <row r="174" customFormat="false" ht="12.8" hidden="false" customHeight="false" outlineLevel="0" collapsed="false">
      <c r="A174" s="0" t="n">
        <v>518</v>
      </c>
      <c r="B174" s="0" t="s">
        <v>139</v>
      </c>
      <c r="C174" s="0" t="s">
        <v>226</v>
      </c>
      <c r="D174" s="0" t="s">
        <v>227</v>
      </c>
      <c r="E174" s="0" t="s">
        <v>228</v>
      </c>
      <c r="F174" s="0" t="n">
        <v>2023</v>
      </c>
      <c r="G174" s="0" t="n">
        <v>39.4187025005134</v>
      </c>
    </row>
    <row r="175" customFormat="false" ht="12.8" hidden="false" customHeight="false" outlineLevel="0" collapsed="false">
      <c r="A175" s="0" t="n">
        <v>521</v>
      </c>
      <c r="B175" s="0" t="s">
        <v>53</v>
      </c>
      <c r="C175" s="0" t="s">
        <v>226</v>
      </c>
      <c r="D175" s="0" t="s">
        <v>227</v>
      </c>
      <c r="E175" s="0" t="s">
        <v>228</v>
      </c>
      <c r="F175" s="0" t="n">
        <v>2023</v>
      </c>
      <c r="G175" s="0" t="n">
        <v>19.3717911494507</v>
      </c>
    </row>
    <row r="176" customFormat="false" ht="12.8" hidden="false" customHeight="false" outlineLevel="0" collapsed="false">
      <c r="A176" s="0" t="n">
        <v>524</v>
      </c>
      <c r="B176" s="0" t="s">
        <v>176</v>
      </c>
      <c r="C176" s="0" t="s">
        <v>226</v>
      </c>
      <c r="D176" s="0" t="s">
        <v>227</v>
      </c>
      <c r="E176" s="0" t="s">
        <v>228</v>
      </c>
      <c r="F176" s="0" t="n">
        <v>2023</v>
      </c>
      <c r="G176" s="0" t="n">
        <v>22.0733234676575</v>
      </c>
    </row>
    <row r="177" customFormat="false" ht="12.8" hidden="false" customHeight="false" outlineLevel="0" collapsed="false">
      <c r="A177" s="0" t="n">
        <v>527</v>
      </c>
      <c r="B177" s="0" t="s">
        <v>54</v>
      </c>
      <c r="C177" s="0" t="s">
        <v>226</v>
      </c>
      <c r="D177" s="0" t="s">
        <v>227</v>
      </c>
      <c r="E177" s="0" t="s">
        <v>228</v>
      </c>
      <c r="F177" s="0" t="n">
        <v>2023</v>
      </c>
      <c r="G177" s="0" t="n">
        <v>12.3728684365891</v>
      </c>
    </row>
    <row r="178" customFormat="false" ht="12.8" hidden="false" customHeight="false" outlineLevel="0" collapsed="false">
      <c r="A178" s="0" t="n">
        <v>530</v>
      </c>
      <c r="B178" s="0" t="s">
        <v>256</v>
      </c>
      <c r="C178" s="0" t="s">
        <v>226</v>
      </c>
      <c r="D178" s="0" t="s">
        <v>227</v>
      </c>
      <c r="E178" s="0" t="s">
        <v>228</v>
      </c>
      <c r="F178" s="0" t="n">
        <v>2023</v>
      </c>
      <c r="G178" s="0" t="n">
        <v>46.2582034204462</v>
      </c>
    </row>
    <row r="179" customFormat="false" ht="12.8" hidden="false" customHeight="false" outlineLevel="0" collapsed="false">
      <c r="A179" s="0" t="n">
        <v>533</v>
      </c>
      <c r="B179" s="0" t="s">
        <v>257</v>
      </c>
      <c r="C179" s="0" t="s">
        <v>226</v>
      </c>
      <c r="D179" s="0" t="s">
        <v>227</v>
      </c>
      <c r="E179" s="0" t="s">
        <v>228</v>
      </c>
      <c r="F179" s="0" t="n">
        <v>2023</v>
      </c>
      <c r="G179" s="0" t="n">
        <v>29.6177673447644</v>
      </c>
    </row>
    <row r="180" customFormat="false" ht="12.8" hidden="false" customHeight="false" outlineLevel="0" collapsed="false">
      <c r="A180" s="0" t="n">
        <v>536</v>
      </c>
      <c r="B180" s="0" t="s">
        <v>145</v>
      </c>
      <c r="C180" s="0" t="s">
        <v>226</v>
      </c>
      <c r="D180" s="0" t="s">
        <v>227</v>
      </c>
      <c r="E180" s="0" t="s">
        <v>228</v>
      </c>
      <c r="F180" s="0" t="n">
        <v>2023</v>
      </c>
      <c r="G180" s="0" t="n">
        <v>10.217745833962</v>
      </c>
    </row>
    <row r="181" customFormat="false" ht="12.8" hidden="false" customHeight="false" outlineLevel="0" collapsed="false">
      <c r="A181" s="0" t="n">
        <v>539</v>
      </c>
      <c r="B181" s="0" t="s">
        <v>157</v>
      </c>
      <c r="C181" s="0" t="s">
        <v>226</v>
      </c>
      <c r="D181" s="0" t="s">
        <v>227</v>
      </c>
      <c r="E181" s="0" t="s">
        <v>228</v>
      </c>
      <c r="F181" s="0" t="n">
        <v>2023</v>
      </c>
      <c r="G181" s="0" t="n">
        <v>39.7060709432878</v>
      </c>
    </row>
    <row r="182" customFormat="false" ht="12.8" hidden="false" customHeight="false" outlineLevel="0" collapsed="false">
      <c r="A182" s="0" t="n">
        <v>542</v>
      </c>
      <c r="B182" s="0" t="s">
        <v>118</v>
      </c>
      <c r="C182" s="0" t="s">
        <v>226</v>
      </c>
      <c r="D182" s="0" t="s">
        <v>227</v>
      </c>
      <c r="E182" s="0" t="s">
        <v>228</v>
      </c>
      <c r="F182" s="0" t="n">
        <v>2023</v>
      </c>
      <c r="G182" s="0" t="n">
        <v>44.880832101795</v>
      </c>
    </row>
    <row r="183" customFormat="false" ht="12.8" hidden="false" customHeight="false" outlineLevel="0" collapsed="false">
      <c r="A183" s="0" t="n">
        <v>545</v>
      </c>
      <c r="B183" s="0" t="s">
        <v>17</v>
      </c>
      <c r="C183" s="0" t="s">
        <v>226</v>
      </c>
      <c r="D183" s="0" t="s">
        <v>227</v>
      </c>
      <c r="E183" s="0" t="s">
        <v>228</v>
      </c>
      <c r="F183" s="0" t="n">
        <v>2023</v>
      </c>
      <c r="G183" s="0" t="n">
        <v>60.6225462222769</v>
      </c>
    </row>
    <row r="184" customFormat="false" ht="12.8" hidden="false" customHeight="false" outlineLevel="0" collapsed="false">
      <c r="A184" s="0" t="n">
        <v>548</v>
      </c>
      <c r="B184" s="0" t="s">
        <v>19</v>
      </c>
      <c r="C184" s="0" t="s">
        <v>226</v>
      </c>
      <c r="D184" s="0" t="s">
        <v>227</v>
      </c>
      <c r="E184" s="0" t="s">
        <v>228</v>
      </c>
      <c r="F184" s="0" t="n">
        <v>2023</v>
      </c>
      <c r="G184" s="0" t="n">
        <v>14.4211554541637</v>
      </c>
    </row>
    <row r="185" customFormat="false" ht="12.8" hidden="false" customHeight="false" outlineLevel="0" collapsed="false">
      <c r="A185" s="0" t="n">
        <v>551</v>
      </c>
      <c r="B185" s="0" t="s">
        <v>258</v>
      </c>
      <c r="C185" s="0" t="s">
        <v>226</v>
      </c>
      <c r="D185" s="0" t="s">
        <v>227</v>
      </c>
      <c r="E185" s="0" t="s">
        <v>228</v>
      </c>
      <c r="F185" s="0" t="n">
        <v>2023</v>
      </c>
      <c r="G185" s="0" t="n">
        <v>25.4147873166997</v>
      </c>
    </row>
    <row r="186" customFormat="false" ht="12.8" hidden="false" customHeight="false" outlineLevel="0" collapsed="false">
      <c r="A186" s="0" t="n">
        <v>554</v>
      </c>
      <c r="B186" s="0" t="s">
        <v>259</v>
      </c>
      <c r="C186" s="0" t="s">
        <v>226</v>
      </c>
      <c r="D186" s="0" t="s">
        <v>227</v>
      </c>
      <c r="E186" s="0" t="s">
        <v>228</v>
      </c>
      <c r="F186" s="0" t="n">
        <v>2023</v>
      </c>
      <c r="G186" s="0" t="n">
        <v>36.461010040738</v>
      </c>
    </row>
    <row r="187" customFormat="false" ht="12.8" hidden="false" customHeight="false" outlineLevel="0" collapsed="false">
      <c r="A187" s="0" t="n">
        <v>557</v>
      </c>
      <c r="B187" s="0" t="s">
        <v>42</v>
      </c>
      <c r="C187" s="0" t="s">
        <v>226</v>
      </c>
      <c r="D187" s="0" t="s">
        <v>227</v>
      </c>
      <c r="E187" s="0" t="s">
        <v>228</v>
      </c>
      <c r="F187" s="0" t="n">
        <v>2023</v>
      </c>
      <c r="G187" s="0" t="n">
        <v>53.4241288638809</v>
      </c>
    </row>
    <row r="188" customFormat="false" ht="12.8" hidden="false" customHeight="false" outlineLevel="0" collapsed="false">
      <c r="A188" s="0" t="n">
        <v>560</v>
      </c>
      <c r="B188" s="0" t="s">
        <v>82</v>
      </c>
      <c r="C188" s="0" t="s">
        <v>226</v>
      </c>
      <c r="D188" s="0" t="s">
        <v>227</v>
      </c>
      <c r="E188" s="0" t="s">
        <v>228</v>
      </c>
      <c r="F188" s="0" t="n">
        <v>2023</v>
      </c>
      <c r="G188" s="0" t="n">
        <v>11.0678967927162</v>
      </c>
    </row>
    <row r="189" customFormat="false" ht="12.8" hidden="false" customHeight="false" outlineLevel="0" collapsed="false">
      <c r="A189" s="0" t="n">
        <v>563</v>
      </c>
      <c r="B189" s="0" t="s">
        <v>260</v>
      </c>
      <c r="C189" s="0" t="s">
        <v>226</v>
      </c>
      <c r="D189" s="0" t="s">
        <v>227</v>
      </c>
      <c r="E189" s="0" t="s">
        <v>228</v>
      </c>
      <c r="F189" s="0" t="n">
        <v>2023</v>
      </c>
      <c r="G189" s="0" t="n">
        <v>9.76485736139351</v>
      </c>
    </row>
    <row r="190" customFormat="false" ht="12.8" hidden="false" customHeight="false" outlineLevel="0" collapsed="false">
      <c r="A190" s="0" t="n">
        <v>566</v>
      </c>
      <c r="B190" s="0" t="s">
        <v>167</v>
      </c>
      <c r="C190" s="0" t="s">
        <v>226</v>
      </c>
      <c r="D190" s="0" t="s">
        <v>227</v>
      </c>
      <c r="E190" s="0" t="s">
        <v>228</v>
      </c>
      <c r="F190" s="0" t="n">
        <v>2023</v>
      </c>
      <c r="G190" s="0" t="n">
        <v>11.5418854854979</v>
      </c>
    </row>
    <row r="191" customFormat="false" ht="12.8" hidden="false" customHeight="false" outlineLevel="0" collapsed="false">
      <c r="A191" s="0" t="n">
        <v>569</v>
      </c>
      <c r="B191" s="0" t="s">
        <v>66</v>
      </c>
      <c r="C191" s="0" t="s">
        <v>226</v>
      </c>
      <c r="D191" s="0" t="s">
        <v>227</v>
      </c>
      <c r="E191" s="0" t="s">
        <v>228</v>
      </c>
      <c r="F191" s="0" t="n">
        <v>2023</v>
      </c>
      <c r="G191" s="0" t="n">
        <v>15.3408083536157</v>
      </c>
    </row>
    <row r="192" customFormat="false" ht="12.8" hidden="false" customHeight="false" outlineLevel="0" collapsed="false">
      <c r="A192" s="0" t="n">
        <v>572</v>
      </c>
      <c r="B192" s="0" t="s">
        <v>173</v>
      </c>
      <c r="C192" s="0" t="s">
        <v>226</v>
      </c>
      <c r="D192" s="0" t="s">
        <v>227</v>
      </c>
      <c r="E192" s="0" t="s">
        <v>228</v>
      </c>
      <c r="F192" s="0" t="n">
        <v>2023</v>
      </c>
      <c r="G192" s="0" t="n">
        <v>46.9273129135873</v>
      </c>
    </row>
    <row r="193" customFormat="false" ht="12.8" hidden="false" customHeight="false" outlineLevel="0" collapsed="false">
      <c r="A193" s="0" t="n">
        <v>575</v>
      </c>
      <c r="B193" s="0" t="s">
        <v>29</v>
      </c>
      <c r="C193" s="0" t="s">
        <v>226</v>
      </c>
      <c r="D193" s="0" t="s">
        <v>227</v>
      </c>
      <c r="E193" s="0" t="s">
        <v>228</v>
      </c>
      <c r="F193" s="0" t="n">
        <v>2023</v>
      </c>
      <c r="G193" s="0" t="n">
        <v>41.6656196574479</v>
      </c>
    </row>
    <row r="194" customFormat="false" ht="12.8" hidden="false" customHeight="false" outlineLevel="0" collapsed="false">
      <c r="A194" s="0" t="n">
        <v>578</v>
      </c>
      <c r="B194" s="0" t="s">
        <v>94</v>
      </c>
      <c r="C194" s="0" t="s">
        <v>226</v>
      </c>
      <c r="D194" s="0" t="s">
        <v>227</v>
      </c>
      <c r="E194" s="0" t="s">
        <v>228</v>
      </c>
      <c r="F194" s="0" t="n">
        <v>2023</v>
      </c>
      <c r="G194" s="0" t="n">
        <v>10.9947098903554</v>
      </c>
    </row>
    <row r="195" customFormat="false" ht="12.8" hidden="false" customHeight="false" outlineLevel="0" collapsed="false">
      <c r="A195" s="0" t="n">
        <v>581</v>
      </c>
      <c r="B195" s="0" t="s">
        <v>46</v>
      </c>
      <c r="C195" s="0" t="s">
        <v>226</v>
      </c>
      <c r="D195" s="0" t="s">
        <v>227</v>
      </c>
      <c r="E195" s="0" t="s">
        <v>228</v>
      </c>
      <c r="F195" s="0" t="n">
        <v>2023</v>
      </c>
      <c r="G195" s="0" t="n">
        <v>92.6966915204091</v>
      </c>
    </row>
    <row r="196" customFormat="false" ht="12.8" hidden="false" customHeight="false" outlineLevel="0" collapsed="false">
      <c r="A196" s="0" t="n">
        <v>584</v>
      </c>
      <c r="B196" s="0" t="s">
        <v>137</v>
      </c>
      <c r="C196" s="0" t="s">
        <v>226</v>
      </c>
      <c r="D196" s="0" t="s">
        <v>227</v>
      </c>
      <c r="E196" s="0" t="s">
        <v>228</v>
      </c>
      <c r="F196" s="0" t="n">
        <v>2023</v>
      </c>
      <c r="G196" s="0" t="n">
        <v>15.8803025949197</v>
      </c>
    </row>
    <row r="197" customFormat="false" ht="12.8" hidden="false" customHeight="false" outlineLevel="0" collapsed="false">
      <c r="A197" s="0" t="n">
        <v>587</v>
      </c>
      <c r="B197" s="0" t="s">
        <v>147</v>
      </c>
      <c r="C197" s="0" t="s">
        <v>226</v>
      </c>
      <c r="D197" s="0" t="s">
        <v>227</v>
      </c>
      <c r="E197" s="0" t="s">
        <v>228</v>
      </c>
      <c r="F197" s="0" t="n">
        <v>2023</v>
      </c>
      <c r="G197" s="0" t="n">
        <v>12.5547617187003</v>
      </c>
    </row>
    <row r="198" customFormat="false" ht="12.8" hidden="false" customHeight="false" outlineLevel="0" collapsed="false">
      <c r="A198" s="0" t="n">
        <v>590</v>
      </c>
      <c r="B198" s="0" t="s">
        <v>58</v>
      </c>
      <c r="C198" s="0" t="s">
        <v>226</v>
      </c>
      <c r="D198" s="0" t="s">
        <v>227</v>
      </c>
      <c r="E198" s="0" t="s">
        <v>228</v>
      </c>
      <c r="F198" s="0" t="n">
        <v>2023</v>
      </c>
      <c r="G198" s="0" t="n">
        <v>14.8760359047175</v>
      </c>
    </row>
    <row r="199" customFormat="false" ht="12.8" hidden="false" customHeight="false" outlineLevel="0" collapsed="false">
      <c r="A199" s="0" t="n">
        <v>593</v>
      </c>
      <c r="B199" s="0" t="s">
        <v>140</v>
      </c>
      <c r="C199" s="0" t="s">
        <v>226</v>
      </c>
      <c r="D199" s="0" t="s">
        <v>227</v>
      </c>
      <c r="E199" s="0" t="s">
        <v>228</v>
      </c>
      <c r="F199" s="0" t="n">
        <v>2023</v>
      </c>
      <c r="G199" s="0" t="n">
        <v>16.6596929218212</v>
      </c>
    </row>
    <row r="200" customFormat="false" ht="12.8" hidden="false" customHeight="false" outlineLevel="0" collapsed="false">
      <c r="A200" s="0" t="n">
        <v>596</v>
      </c>
      <c r="B200" s="0" t="s">
        <v>61</v>
      </c>
      <c r="C200" s="0" t="s">
        <v>226</v>
      </c>
      <c r="D200" s="0" t="s">
        <v>227</v>
      </c>
      <c r="E200" s="0" t="s">
        <v>228</v>
      </c>
      <c r="F200" s="0" t="n">
        <v>2023</v>
      </c>
      <c r="G200" s="0" t="n">
        <v>12.5543936659763</v>
      </c>
    </row>
    <row r="201" customFormat="false" ht="12.8" hidden="false" customHeight="false" outlineLevel="0" collapsed="false">
      <c r="A201" s="0" t="n">
        <v>599</v>
      </c>
      <c r="B201" s="0" t="s">
        <v>64</v>
      </c>
      <c r="C201" s="0" t="s">
        <v>226</v>
      </c>
      <c r="D201" s="0" t="s">
        <v>227</v>
      </c>
      <c r="E201" s="0" t="s">
        <v>228</v>
      </c>
      <c r="F201" s="0" t="n">
        <v>2023</v>
      </c>
      <c r="G201" s="0" t="n">
        <v>17.2711121611089</v>
      </c>
    </row>
    <row r="202" customFormat="false" ht="12.8" hidden="false" customHeight="false" outlineLevel="0" collapsed="false">
      <c r="A202" s="0" t="n">
        <v>602</v>
      </c>
      <c r="B202" s="0" t="s">
        <v>48</v>
      </c>
      <c r="C202" s="0" t="s">
        <v>226</v>
      </c>
      <c r="D202" s="0" t="s">
        <v>227</v>
      </c>
      <c r="E202" s="0" t="s">
        <v>228</v>
      </c>
      <c r="F202" s="0" t="n">
        <v>2023</v>
      </c>
      <c r="G202" s="0" t="n">
        <v>23.6399181413838</v>
      </c>
    </row>
    <row r="203" customFormat="false" ht="12.8" hidden="false" customHeight="false" outlineLevel="0" collapsed="false">
      <c r="A203" s="0" t="n">
        <v>605</v>
      </c>
      <c r="B203" s="0" t="s">
        <v>65</v>
      </c>
      <c r="C203" s="0" t="s">
        <v>226</v>
      </c>
      <c r="D203" s="0" t="s">
        <v>227</v>
      </c>
      <c r="E203" s="0" t="s">
        <v>228</v>
      </c>
      <c r="F203" s="0" t="n">
        <v>2023</v>
      </c>
      <c r="G203" s="0" t="n">
        <v>15.171015629966</v>
      </c>
    </row>
    <row r="204" customFormat="false" ht="12.8" hidden="false" customHeight="false" outlineLevel="0" collapsed="false">
      <c r="A204" s="0" t="n">
        <v>608</v>
      </c>
      <c r="B204" s="0" t="s">
        <v>123</v>
      </c>
      <c r="C204" s="0" t="s">
        <v>226</v>
      </c>
      <c r="D204" s="0" t="s">
        <v>227</v>
      </c>
      <c r="E204" s="0" t="s">
        <v>228</v>
      </c>
      <c r="F204" s="0" t="n">
        <v>2023</v>
      </c>
      <c r="G204" s="0" t="n">
        <v>35.8646781700852</v>
      </c>
    </row>
    <row r="205" customFormat="false" ht="12.8" hidden="false" customHeight="false" outlineLevel="0" collapsed="false">
      <c r="A205" s="0" t="n">
        <v>611</v>
      </c>
      <c r="B205" s="0" t="s">
        <v>90</v>
      </c>
      <c r="C205" s="0" t="s">
        <v>226</v>
      </c>
      <c r="D205" s="0" t="s">
        <v>227</v>
      </c>
      <c r="E205" s="0" t="s">
        <v>228</v>
      </c>
      <c r="F205" s="0" t="n">
        <v>2023</v>
      </c>
      <c r="G205" s="0" t="n">
        <v>15.2872701875531</v>
      </c>
    </row>
    <row r="206" customFormat="false" ht="12.8" hidden="false" customHeight="false" outlineLevel="0" collapsed="false">
      <c r="A206" s="0" t="n">
        <v>614</v>
      </c>
      <c r="B206" s="0" t="s">
        <v>7</v>
      </c>
      <c r="C206" s="0" t="s">
        <v>261</v>
      </c>
      <c r="D206" s="0" t="s">
        <v>227</v>
      </c>
      <c r="E206" s="0" t="s">
        <v>228</v>
      </c>
      <c r="F206" s="0" t="n">
        <v>2023</v>
      </c>
      <c r="G206" s="0" t="n">
        <v>1043.28610504098</v>
      </c>
    </row>
    <row r="207" customFormat="false" ht="12.8" hidden="false" customHeight="false" outlineLevel="0" collapsed="false">
      <c r="A207" s="0" t="n">
        <v>617</v>
      </c>
      <c r="B207" s="0" t="s">
        <v>105</v>
      </c>
      <c r="C207" s="0" t="s">
        <v>261</v>
      </c>
      <c r="D207" s="0" t="s">
        <v>227</v>
      </c>
      <c r="E207" s="0" t="s">
        <v>228</v>
      </c>
      <c r="F207" s="0" t="n">
        <v>2023</v>
      </c>
      <c r="G207" s="0" t="n">
        <v>880.30079255416</v>
      </c>
    </row>
    <row r="208" customFormat="false" ht="12.8" hidden="false" customHeight="false" outlineLevel="0" collapsed="false">
      <c r="A208" s="0" t="n">
        <v>620</v>
      </c>
      <c r="B208" s="0" t="s">
        <v>54</v>
      </c>
      <c r="C208" s="0" t="s">
        <v>261</v>
      </c>
      <c r="D208" s="0" t="s">
        <v>227</v>
      </c>
      <c r="E208" s="0" t="s">
        <v>228</v>
      </c>
      <c r="F208" s="0" t="n">
        <v>2023</v>
      </c>
      <c r="G208" s="0" t="n">
        <v>570.207095603588</v>
      </c>
    </row>
    <row r="209" customFormat="false" ht="12.8" hidden="false" customHeight="false" outlineLevel="0" collapsed="false">
      <c r="A209" s="0" t="n">
        <v>623</v>
      </c>
      <c r="B209" s="0" t="s">
        <v>6</v>
      </c>
      <c r="C209" s="0" t="s">
        <v>261</v>
      </c>
      <c r="D209" s="0" t="s">
        <v>227</v>
      </c>
      <c r="E209" s="0" t="s">
        <v>228</v>
      </c>
      <c r="F209" s="0" t="n">
        <v>2023</v>
      </c>
      <c r="G209" s="0" t="n">
        <v>844.964712772924</v>
      </c>
    </row>
    <row r="210" customFormat="false" ht="12.8" hidden="false" customHeight="false" outlineLevel="0" collapsed="false">
      <c r="A210" s="0" t="n">
        <v>626</v>
      </c>
      <c r="B210" s="0" t="s">
        <v>21</v>
      </c>
      <c r="C210" s="0" t="s">
        <v>261</v>
      </c>
      <c r="D210" s="0" t="s">
        <v>227</v>
      </c>
      <c r="E210" s="0" t="s">
        <v>228</v>
      </c>
      <c r="F210" s="0" t="n">
        <v>2023</v>
      </c>
      <c r="G210" s="0" t="n">
        <v>834.704101225642</v>
      </c>
    </row>
    <row r="211" customFormat="false" ht="12.8" hidden="false" customHeight="false" outlineLevel="0" collapsed="false">
      <c r="A211" s="0" t="n">
        <v>629</v>
      </c>
      <c r="B211" s="0" t="s">
        <v>156</v>
      </c>
      <c r="C211" s="0" t="s">
        <v>261</v>
      </c>
      <c r="D211" s="0" t="s">
        <v>227</v>
      </c>
      <c r="E211" s="0" t="s">
        <v>228</v>
      </c>
      <c r="F211" s="0" t="n">
        <v>2023</v>
      </c>
      <c r="G211" s="0" t="n">
        <v>729.317747707551</v>
      </c>
    </row>
    <row r="212" customFormat="false" ht="12.8" hidden="false" customHeight="false" outlineLevel="0" collapsed="false">
      <c r="A212" s="0" t="n">
        <v>632</v>
      </c>
      <c r="B212" s="0" t="s">
        <v>23</v>
      </c>
      <c r="C212" s="0" t="s">
        <v>261</v>
      </c>
      <c r="D212" s="0" t="s">
        <v>227</v>
      </c>
      <c r="E212" s="0" t="s">
        <v>228</v>
      </c>
      <c r="F212" s="0" t="n">
        <v>2023</v>
      </c>
      <c r="G212" s="0" t="n">
        <v>1034.63288927484</v>
      </c>
    </row>
    <row r="213" customFormat="false" ht="12.8" hidden="false" customHeight="false" outlineLevel="0" collapsed="false">
      <c r="A213" s="0" t="n">
        <v>635</v>
      </c>
      <c r="B213" s="0" t="s">
        <v>241</v>
      </c>
      <c r="C213" s="0" t="s">
        <v>261</v>
      </c>
      <c r="D213" s="0" t="s">
        <v>227</v>
      </c>
      <c r="E213" s="0" t="s">
        <v>228</v>
      </c>
      <c r="F213" s="0" t="n">
        <v>2023</v>
      </c>
      <c r="G213" s="0" t="n">
        <v>1025.69108585164</v>
      </c>
    </row>
    <row r="214" customFormat="false" ht="12.8" hidden="false" customHeight="false" outlineLevel="0" collapsed="false">
      <c r="A214" s="0" t="n">
        <v>638</v>
      </c>
      <c r="B214" s="0" t="s">
        <v>144</v>
      </c>
      <c r="C214" s="0" t="s">
        <v>261</v>
      </c>
      <c r="D214" s="0" t="s">
        <v>227</v>
      </c>
      <c r="E214" s="0" t="s">
        <v>228</v>
      </c>
      <c r="F214" s="0" t="n">
        <v>2023</v>
      </c>
      <c r="G214" s="0" t="n">
        <v>1560.7562549453</v>
      </c>
    </row>
    <row r="215" customFormat="false" ht="12.8" hidden="false" customHeight="false" outlineLevel="0" collapsed="false">
      <c r="A215" s="0" t="n">
        <v>641</v>
      </c>
      <c r="B215" s="0" t="s">
        <v>131</v>
      </c>
      <c r="C215" s="0" t="s">
        <v>261</v>
      </c>
      <c r="D215" s="0" t="s">
        <v>227</v>
      </c>
      <c r="E215" s="0" t="s">
        <v>228</v>
      </c>
      <c r="F215" s="0" t="n">
        <v>2023</v>
      </c>
      <c r="G215" s="0" t="n">
        <v>1257.61576835376</v>
      </c>
    </row>
    <row r="216" customFormat="false" ht="12.8" hidden="false" customHeight="false" outlineLevel="0" collapsed="false">
      <c r="A216" s="0" t="n">
        <v>644</v>
      </c>
      <c r="B216" s="0" t="s">
        <v>94</v>
      </c>
      <c r="C216" s="0" t="s">
        <v>261</v>
      </c>
      <c r="D216" s="0" t="s">
        <v>227</v>
      </c>
      <c r="E216" s="0" t="s">
        <v>228</v>
      </c>
      <c r="F216" s="0" t="n">
        <v>2023</v>
      </c>
      <c r="G216" s="0" t="n">
        <v>609.717688554924</v>
      </c>
    </row>
    <row r="217" customFormat="false" ht="12.8" hidden="false" customHeight="false" outlineLevel="0" collapsed="false">
      <c r="A217" s="0" t="n">
        <v>647</v>
      </c>
      <c r="B217" s="0" t="s">
        <v>170</v>
      </c>
      <c r="C217" s="0" t="s">
        <v>261</v>
      </c>
      <c r="D217" s="0" t="s">
        <v>227</v>
      </c>
      <c r="E217" s="0" t="s">
        <v>228</v>
      </c>
      <c r="F217" s="0" t="n">
        <v>2023</v>
      </c>
      <c r="G217" s="0" t="n">
        <v>498.269342833849</v>
      </c>
    </row>
    <row r="218" customFormat="false" ht="12.8" hidden="false" customHeight="false" outlineLevel="0" collapsed="false">
      <c r="A218" s="0" t="n">
        <v>650</v>
      </c>
      <c r="B218" s="0" t="s">
        <v>58</v>
      </c>
      <c r="C218" s="0" t="s">
        <v>261</v>
      </c>
      <c r="D218" s="0" t="s">
        <v>227</v>
      </c>
      <c r="E218" s="0" t="s">
        <v>228</v>
      </c>
      <c r="F218" s="0" t="n">
        <v>2023</v>
      </c>
      <c r="G218" s="0" t="n">
        <v>651.250767630624</v>
      </c>
    </row>
    <row r="219" customFormat="false" ht="12.8" hidden="false" customHeight="false" outlineLevel="0" collapsed="false">
      <c r="A219" s="0" t="n">
        <v>653</v>
      </c>
      <c r="B219" s="0" t="s">
        <v>123</v>
      </c>
      <c r="C219" s="0" t="s">
        <v>261</v>
      </c>
      <c r="D219" s="0" t="s">
        <v>227</v>
      </c>
      <c r="E219" s="0" t="s">
        <v>228</v>
      </c>
      <c r="F219" s="0" t="n">
        <v>2023</v>
      </c>
      <c r="G219" s="0" t="n">
        <v>987.676109867648</v>
      </c>
    </row>
    <row r="220" customFormat="false" ht="12.8" hidden="false" customHeight="false" outlineLevel="0" collapsed="false">
      <c r="A220" s="0" t="n">
        <v>656</v>
      </c>
      <c r="B220" s="0" t="s">
        <v>46</v>
      </c>
      <c r="C220" s="0" t="s">
        <v>261</v>
      </c>
      <c r="D220" s="0" t="s">
        <v>227</v>
      </c>
      <c r="E220" s="0" t="s">
        <v>228</v>
      </c>
      <c r="F220" s="0" t="n">
        <v>2023</v>
      </c>
      <c r="G220" s="0" t="n">
        <v>1982.99127589569</v>
      </c>
    </row>
    <row r="221" customFormat="false" ht="12.8" hidden="false" customHeight="false" outlineLevel="0" collapsed="false">
      <c r="A221" s="0" t="n">
        <v>659</v>
      </c>
      <c r="B221" s="0" t="s">
        <v>76</v>
      </c>
      <c r="C221" s="0" t="s">
        <v>261</v>
      </c>
      <c r="D221" s="0" t="s">
        <v>227</v>
      </c>
      <c r="E221" s="0" t="s">
        <v>228</v>
      </c>
      <c r="F221" s="0" t="n">
        <v>2023</v>
      </c>
      <c r="G221" s="0" t="n">
        <v>743.570804822478</v>
      </c>
    </row>
    <row r="222" customFormat="false" ht="12.8" hidden="false" customHeight="false" outlineLevel="0" collapsed="false">
      <c r="A222" s="0" t="n">
        <v>662</v>
      </c>
      <c r="B222" s="0" t="s">
        <v>258</v>
      </c>
      <c r="C222" s="0" t="s">
        <v>261</v>
      </c>
      <c r="D222" s="0" t="s">
        <v>227</v>
      </c>
      <c r="E222" s="0" t="s">
        <v>228</v>
      </c>
      <c r="F222" s="0" t="n">
        <v>2023</v>
      </c>
      <c r="G222" s="0" t="n">
        <v>964.396801514923</v>
      </c>
    </row>
    <row r="223" customFormat="false" ht="12.8" hidden="false" customHeight="false" outlineLevel="0" collapsed="false">
      <c r="A223" s="0" t="n">
        <v>665</v>
      </c>
      <c r="B223" s="0" t="s">
        <v>109</v>
      </c>
      <c r="C223" s="0" t="s">
        <v>261</v>
      </c>
      <c r="D223" s="0" t="s">
        <v>227</v>
      </c>
      <c r="E223" s="0" t="s">
        <v>228</v>
      </c>
      <c r="F223" s="0" t="n">
        <v>2023</v>
      </c>
      <c r="G223" s="0" t="n">
        <v>1075.02902585984</v>
      </c>
    </row>
    <row r="224" customFormat="false" ht="12.8" hidden="false" customHeight="false" outlineLevel="0" collapsed="false">
      <c r="A224" s="0" t="n">
        <v>668</v>
      </c>
      <c r="B224" s="0" t="s">
        <v>122</v>
      </c>
      <c r="C224" s="0" t="s">
        <v>261</v>
      </c>
      <c r="D224" s="0" t="s">
        <v>227</v>
      </c>
      <c r="E224" s="0" t="s">
        <v>228</v>
      </c>
      <c r="F224" s="0" t="n">
        <v>2023</v>
      </c>
      <c r="G224" s="0" t="n">
        <v>860.049518515232</v>
      </c>
    </row>
    <row r="225" customFormat="false" ht="12.8" hidden="false" customHeight="false" outlineLevel="0" collapsed="false">
      <c r="A225" s="0" t="n">
        <v>671</v>
      </c>
      <c r="B225" s="0" t="s">
        <v>117</v>
      </c>
      <c r="C225" s="0" t="s">
        <v>261</v>
      </c>
      <c r="D225" s="0" t="s">
        <v>227</v>
      </c>
      <c r="E225" s="0" t="s">
        <v>228</v>
      </c>
      <c r="F225" s="0" t="n">
        <v>2023</v>
      </c>
      <c r="G225" s="0" t="n">
        <v>463.893778337591</v>
      </c>
    </row>
    <row r="226" customFormat="false" ht="12.8" hidden="false" customHeight="false" outlineLevel="0" collapsed="false">
      <c r="A226" s="0" t="n">
        <v>674</v>
      </c>
      <c r="B226" s="0" t="s">
        <v>128</v>
      </c>
      <c r="C226" s="0" t="s">
        <v>261</v>
      </c>
      <c r="D226" s="0" t="s">
        <v>227</v>
      </c>
      <c r="E226" s="0" t="s">
        <v>228</v>
      </c>
      <c r="F226" s="0" t="n">
        <v>2023</v>
      </c>
      <c r="G226" s="0" t="n">
        <v>945.488137357193</v>
      </c>
    </row>
    <row r="227" customFormat="false" ht="12.8" hidden="false" customHeight="false" outlineLevel="0" collapsed="false">
      <c r="A227" s="0" t="n">
        <v>677</v>
      </c>
      <c r="B227" s="0" t="s">
        <v>120</v>
      </c>
      <c r="C227" s="0" t="s">
        <v>261</v>
      </c>
      <c r="D227" s="0" t="s">
        <v>227</v>
      </c>
      <c r="E227" s="0" t="s">
        <v>228</v>
      </c>
      <c r="F227" s="0" t="n">
        <v>2023</v>
      </c>
      <c r="G227" s="0" t="n">
        <v>797.191941832093</v>
      </c>
    </row>
    <row r="228" customFormat="false" ht="12.8" hidden="false" customHeight="false" outlineLevel="0" collapsed="false">
      <c r="A228" s="0" t="n">
        <v>680</v>
      </c>
      <c r="B228" s="0" t="s">
        <v>242</v>
      </c>
      <c r="C228" s="0" t="s">
        <v>261</v>
      </c>
      <c r="D228" s="0" t="s">
        <v>227</v>
      </c>
      <c r="E228" s="0" t="s">
        <v>228</v>
      </c>
      <c r="F228" s="0" t="n">
        <v>2023</v>
      </c>
      <c r="G228" s="0" t="n">
        <v>1316.55150390149</v>
      </c>
    </row>
    <row r="229" customFormat="false" ht="12.8" hidden="false" customHeight="false" outlineLevel="0" collapsed="false">
      <c r="A229" s="0" t="n">
        <v>683</v>
      </c>
      <c r="B229" s="0" t="s">
        <v>142</v>
      </c>
      <c r="C229" s="0" t="s">
        <v>261</v>
      </c>
      <c r="D229" s="0" t="s">
        <v>227</v>
      </c>
      <c r="E229" s="0" t="s">
        <v>228</v>
      </c>
      <c r="F229" s="0" t="n">
        <v>2023</v>
      </c>
      <c r="G229" s="0" t="n">
        <v>885.565084049107</v>
      </c>
    </row>
    <row r="230" customFormat="false" ht="12.8" hidden="false" customHeight="false" outlineLevel="0" collapsed="false">
      <c r="A230" s="0" t="n">
        <v>686</v>
      </c>
      <c r="B230" s="0" t="s">
        <v>133</v>
      </c>
      <c r="C230" s="0" t="s">
        <v>261</v>
      </c>
      <c r="D230" s="0" t="s">
        <v>227</v>
      </c>
      <c r="E230" s="0" t="s">
        <v>228</v>
      </c>
      <c r="F230" s="0" t="n">
        <v>2023</v>
      </c>
      <c r="G230" s="0" t="n">
        <v>812.954077116916</v>
      </c>
    </row>
    <row r="231" customFormat="false" ht="12.8" hidden="false" customHeight="false" outlineLevel="0" collapsed="false">
      <c r="A231" s="0" t="n">
        <v>689</v>
      </c>
      <c r="B231" s="0" t="s">
        <v>64</v>
      </c>
      <c r="C231" s="0" t="s">
        <v>261</v>
      </c>
      <c r="D231" s="0" t="s">
        <v>227</v>
      </c>
      <c r="E231" s="0" t="s">
        <v>228</v>
      </c>
      <c r="F231" s="0" t="n">
        <v>2023</v>
      </c>
      <c r="G231" s="0" t="n">
        <v>739.443943586509</v>
      </c>
    </row>
    <row r="232" customFormat="false" ht="12.8" hidden="false" customHeight="false" outlineLevel="0" collapsed="false">
      <c r="A232" s="0" t="n">
        <v>692</v>
      </c>
      <c r="B232" s="0" t="s">
        <v>36</v>
      </c>
      <c r="C232" s="0" t="s">
        <v>261</v>
      </c>
      <c r="D232" s="0" t="s">
        <v>227</v>
      </c>
      <c r="E232" s="0" t="s">
        <v>228</v>
      </c>
      <c r="F232" s="0" t="n">
        <v>2023</v>
      </c>
      <c r="G232" s="0" t="n">
        <v>960.344508271789</v>
      </c>
    </row>
    <row r="233" customFormat="false" ht="12.8" hidden="false" customHeight="false" outlineLevel="0" collapsed="false">
      <c r="A233" s="0" t="n">
        <v>695</v>
      </c>
      <c r="B233" s="0" t="s">
        <v>12</v>
      </c>
      <c r="C233" s="0" t="s">
        <v>261</v>
      </c>
      <c r="D233" s="0" t="s">
        <v>227</v>
      </c>
      <c r="E233" s="0" t="s">
        <v>228</v>
      </c>
      <c r="F233" s="0" t="n">
        <v>2023</v>
      </c>
      <c r="G233" s="0" t="n">
        <v>744.483296560108</v>
      </c>
    </row>
    <row r="234" customFormat="false" ht="12.8" hidden="false" customHeight="false" outlineLevel="0" collapsed="false">
      <c r="A234" s="0" t="n">
        <v>698</v>
      </c>
      <c r="B234" s="0" t="s">
        <v>5</v>
      </c>
      <c r="C234" s="0" t="s">
        <v>261</v>
      </c>
      <c r="D234" s="0" t="s">
        <v>227</v>
      </c>
      <c r="E234" s="0" t="s">
        <v>228</v>
      </c>
      <c r="F234" s="0" t="n">
        <v>2023</v>
      </c>
      <c r="G234" s="0" t="n">
        <v>1067.79848770987</v>
      </c>
    </row>
    <row r="235" customFormat="false" ht="12.8" hidden="false" customHeight="false" outlineLevel="0" collapsed="false">
      <c r="A235" s="0" t="n">
        <v>701</v>
      </c>
      <c r="B235" s="0" t="s">
        <v>56</v>
      </c>
      <c r="C235" s="0" t="s">
        <v>261</v>
      </c>
      <c r="D235" s="0" t="s">
        <v>227</v>
      </c>
      <c r="E235" s="0" t="s">
        <v>228</v>
      </c>
      <c r="F235" s="0" t="n">
        <v>2023</v>
      </c>
      <c r="G235" s="0" t="n">
        <v>940.393178935089</v>
      </c>
    </row>
    <row r="236" customFormat="false" ht="12.8" hidden="false" customHeight="false" outlineLevel="0" collapsed="false">
      <c r="A236" s="0" t="n">
        <v>704</v>
      </c>
      <c r="B236" s="0" t="s">
        <v>148</v>
      </c>
      <c r="C236" s="0" t="s">
        <v>261</v>
      </c>
      <c r="D236" s="0" t="s">
        <v>227</v>
      </c>
      <c r="E236" s="0" t="s">
        <v>228</v>
      </c>
      <c r="F236" s="0" t="n">
        <v>2023</v>
      </c>
      <c r="G236" s="0" t="n">
        <v>1398.84882172331</v>
      </c>
    </row>
    <row r="237" customFormat="false" ht="12.8" hidden="false" customHeight="false" outlineLevel="0" collapsed="false">
      <c r="A237" s="0" t="n">
        <v>707</v>
      </c>
      <c r="B237" s="0" t="s">
        <v>25</v>
      </c>
      <c r="C237" s="0" t="s">
        <v>261</v>
      </c>
      <c r="D237" s="0" t="s">
        <v>227</v>
      </c>
      <c r="E237" s="0" t="s">
        <v>228</v>
      </c>
      <c r="F237" s="0" t="n">
        <v>2023</v>
      </c>
      <c r="G237" s="0" t="n">
        <v>1366.66161830264</v>
      </c>
    </row>
    <row r="238" customFormat="false" ht="12.8" hidden="false" customHeight="false" outlineLevel="0" collapsed="false">
      <c r="A238" s="0" t="n">
        <v>710</v>
      </c>
      <c r="B238" s="0" t="s">
        <v>4</v>
      </c>
      <c r="C238" s="0" t="s">
        <v>261</v>
      </c>
      <c r="D238" s="0" t="s">
        <v>227</v>
      </c>
      <c r="E238" s="0" t="s">
        <v>228</v>
      </c>
      <c r="F238" s="0" t="n">
        <v>2023</v>
      </c>
      <c r="G238" s="0" t="n">
        <v>760.202242521093</v>
      </c>
    </row>
    <row r="239" customFormat="false" ht="12.8" hidden="false" customHeight="false" outlineLevel="0" collapsed="false">
      <c r="A239" s="0" t="n">
        <v>713</v>
      </c>
      <c r="B239" s="0" t="s">
        <v>79</v>
      </c>
      <c r="C239" s="0" t="s">
        <v>261</v>
      </c>
      <c r="D239" s="0" t="s">
        <v>227</v>
      </c>
      <c r="E239" s="0" t="s">
        <v>228</v>
      </c>
      <c r="F239" s="0" t="n">
        <v>2023</v>
      </c>
      <c r="G239" s="0" t="n">
        <v>1293.79744040545</v>
      </c>
    </row>
    <row r="240" customFormat="false" ht="12.8" hidden="false" customHeight="false" outlineLevel="0" collapsed="false">
      <c r="A240" s="0" t="n">
        <v>716</v>
      </c>
      <c r="B240" s="0" t="s">
        <v>29</v>
      </c>
      <c r="C240" s="0" t="s">
        <v>261</v>
      </c>
      <c r="D240" s="0" t="s">
        <v>227</v>
      </c>
      <c r="E240" s="0" t="s">
        <v>228</v>
      </c>
      <c r="F240" s="0" t="n">
        <v>2023</v>
      </c>
      <c r="G240" s="0" t="n">
        <v>1276.32277167733</v>
      </c>
    </row>
    <row r="241" customFormat="false" ht="12.8" hidden="false" customHeight="false" outlineLevel="0" collapsed="false">
      <c r="A241" s="0" t="n">
        <v>719</v>
      </c>
      <c r="B241" s="0" t="s">
        <v>243</v>
      </c>
      <c r="C241" s="0" t="s">
        <v>261</v>
      </c>
      <c r="D241" s="0" t="s">
        <v>227</v>
      </c>
      <c r="E241" s="0" t="s">
        <v>228</v>
      </c>
      <c r="F241" s="0" t="n">
        <v>2023</v>
      </c>
      <c r="G241" s="0" t="n">
        <v>935.336025848622</v>
      </c>
    </row>
    <row r="242" customFormat="false" ht="12.8" hidden="false" customHeight="false" outlineLevel="0" collapsed="false">
      <c r="A242" s="0" t="n">
        <v>722</v>
      </c>
      <c r="B242" s="0" t="s">
        <v>245</v>
      </c>
      <c r="C242" s="0" t="s">
        <v>261</v>
      </c>
      <c r="D242" s="0" t="s">
        <v>227</v>
      </c>
      <c r="E242" s="0" t="s">
        <v>228</v>
      </c>
      <c r="F242" s="0" t="n">
        <v>2023</v>
      </c>
      <c r="G242" s="0" t="n">
        <v>1067.07223244106</v>
      </c>
    </row>
    <row r="243" customFormat="false" ht="12.8" hidden="false" customHeight="false" outlineLevel="0" collapsed="false">
      <c r="A243" s="0" t="n">
        <v>725</v>
      </c>
      <c r="B243" s="0" t="s">
        <v>33</v>
      </c>
      <c r="C243" s="0" t="s">
        <v>261</v>
      </c>
      <c r="D243" s="0" t="s">
        <v>227</v>
      </c>
      <c r="E243" s="0" t="s">
        <v>228</v>
      </c>
      <c r="F243" s="0" t="n">
        <v>2023</v>
      </c>
      <c r="G243" s="0" t="n">
        <v>653.069838493243</v>
      </c>
    </row>
    <row r="244" customFormat="false" ht="12.8" hidden="false" customHeight="false" outlineLevel="0" collapsed="false">
      <c r="A244" s="0" t="n">
        <v>728</v>
      </c>
      <c r="B244" s="0" t="s">
        <v>230</v>
      </c>
      <c r="C244" s="0" t="s">
        <v>261</v>
      </c>
      <c r="D244" s="0" t="s">
        <v>227</v>
      </c>
      <c r="E244" s="0" t="s">
        <v>228</v>
      </c>
      <c r="F244" s="0" t="n">
        <v>2023</v>
      </c>
      <c r="G244" s="0" t="n">
        <v>506.750507363039</v>
      </c>
    </row>
    <row r="245" customFormat="false" ht="12.8" hidden="false" customHeight="false" outlineLevel="0" collapsed="false">
      <c r="A245" s="0" t="n">
        <v>731</v>
      </c>
      <c r="B245" s="0" t="s">
        <v>253</v>
      </c>
      <c r="C245" s="0" t="s">
        <v>261</v>
      </c>
      <c r="D245" s="0" t="s">
        <v>227</v>
      </c>
      <c r="E245" s="0" t="s">
        <v>228</v>
      </c>
      <c r="F245" s="0" t="n">
        <v>2023</v>
      </c>
      <c r="G245" s="0" t="n">
        <v>1102.71578144313</v>
      </c>
    </row>
    <row r="246" customFormat="false" ht="12.8" hidden="false" customHeight="false" outlineLevel="0" collapsed="false">
      <c r="A246" s="0" t="n">
        <v>734</v>
      </c>
      <c r="B246" s="0" t="s">
        <v>84</v>
      </c>
      <c r="C246" s="0" t="s">
        <v>261</v>
      </c>
      <c r="D246" s="0" t="s">
        <v>227</v>
      </c>
      <c r="E246" s="0" t="s">
        <v>228</v>
      </c>
      <c r="F246" s="0" t="n">
        <v>2023</v>
      </c>
      <c r="G246" s="0" t="n">
        <v>491.3310553846</v>
      </c>
    </row>
    <row r="247" customFormat="false" ht="12.8" hidden="false" customHeight="false" outlineLevel="0" collapsed="false">
      <c r="A247" s="0" t="n">
        <v>737</v>
      </c>
      <c r="B247" s="0" t="s">
        <v>50</v>
      </c>
      <c r="C247" s="0" t="s">
        <v>261</v>
      </c>
      <c r="D247" s="0" t="s">
        <v>227</v>
      </c>
      <c r="E247" s="0" t="s">
        <v>228</v>
      </c>
      <c r="F247" s="0" t="n">
        <v>2023</v>
      </c>
      <c r="G247" s="0" t="n">
        <v>943.872394211075</v>
      </c>
    </row>
    <row r="248" customFormat="false" ht="12.8" hidden="false" customHeight="false" outlineLevel="0" collapsed="false">
      <c r="A248" s="0" t="n">
        <v>740</v>
      </c>
      <c r="B248" s="0" t="s">
        <v>103</v>
      </c>
      <c r="C248" s="0" t="s">
        <v>261</v>
      </c>
      <c r="D248" s="0" t="s">
        <v>227</v>
      </c>
      <c r="E248" s="0" t="s">
        <v>228</v>
      </c>
      <c r="F248" s="0" t="n">
        <v>2023</v>
      </c>
      <c r="G248" s="0" t="n">
        <v>1588.57518289785</v>
      </c>
    </row>
    <row r="249" customFormat="false" ht="12.8" hidden="false" customHeight="false" outlineLevel="0" collapsed="false">
      <c r="A249" s="0" t="n">
        <v>743</v>
      </c>
      <c r="B249" s="0" t="s">
        <v>62</v>
      </c>
      <c r="C249" s="0" t="s">
        <v>261</v>
      </c>
      <c r="D249" s="0" t="s">
        <v>227</v>
      </c>
      <c r="E249" s="0" t="s">
        <v>228</v>
      </c>
      <c r="F249" s="0" t="n">
        <v>2023</v>
      </c>
      <c r="G249" s="0" t="n">
        <v>1300.4887779892</v>
      </c>
    </row>
    <row r="250" customFormat="false" ht="12.8" hidden="false" customHeight="false" outlineLevel="0" collapsed="false">
      <c r="A250" s="0" t="n">
        <v>746</v>
      </c>
      <c r="B250" s="0" t="s">
        <v>135</v>
      </c>
      <c r="C250" s="0" t="s">
        <v>261</v>
      </c>
      <c r="D250" s="0" t="s">
        <v>227</v>
      </c>
      <c r="E250" s="0" t="s">
        <v>228</v>
      </c>
      <c r="F250" s="0" t="n">
        <v>2023</v>
      </c>
      <c r="G250" s="0" t="n">
        <v>1133.83870488029</v>
      </c>
    </row>
    <row r="251" customFormat="false" ht="12.8" hidden="false" customHeight="false" outlineLevel="0" collapsed="false">
      <c r="A251" s="0" t="n">
        <v>749</v>
      </c>
      <c r="B251" s="0" t="s">
        <v>165</v>
      </c>
      <c r="C251" s="0" t="s">
        <v>261</v>
      </c>
      <c r="D251" s="0" t="s">
        <v>227</v>
      </c>
      <c r="E251" s="0" t="s">
        <v>228</v>
      </c>
      <c r="F251" s="0" t="n">
        <v>2023</v>
      </c>
      <c r="G251" s="0" t="n">
        <v>506.285569555026</v>
      </c>
    </row>
    <row r="252" customFormat="false" ht="12.8" hidden="false" customHeight="false" outlineLevel="0" collapsed="false">
      <c r="A252" s="0" t="n">
        <v>752</v>
      </c>
      <c r="B252" s="0" t="s">
        <v>13</v>
      </c>
      <c r="C252" s="0" t="s">
        <v>261</v>
      </c>
      <c r="D252" s="0" t="s">
        <v>227</v>
      </c>
      <c r="E252" s="0" t="s">
        <v>228</v>
      </c>
      <c r="F252" s="0" t="n">
        <v>2023</v>
      </c>
      <c r="G252" s="0" t="n">
        <v>648.103189424846</v>
      </c>
    </row>
    <row r="253" customFormat="false" ht="12.8" hidden="false" customHeight="false" outlineLevel="0" collapsed="false">
      <c r="A253" s="0" t="n">
        <v>757</v>
      </c>
      <c r="B253" s="0" t="s">
        <v>93</v>
      </c>
      <c r="C253" s="0" t="s">
        <v>261</v>
      </c>
      <c r="D253" s="0" t="s">
        <v>227</v>
      </c>
      <c r="E253" s="0" t="s">
        <v>228</v>
      </c>
      <c r="F253" s="0" t="n">
        <v>2023</v>
      </c>
      <c r="G253" s="0" t="n">
        <v>1027.20096886071</v>
      </c>
    </row>
    <row r="254" customFormat="false" ht="12.8" hidden="false" customHeight="false" outlineLevel="0" collapsed="false">
      <c r="A254" s="0" t="n">
        <v>760</v>
      </c>
      <c r="B254" s="0" t="s">
        <v>90</v>
      </c>
      <c r="C254" s="0" t="s">
        <v>261</v>
      </c>
      <c r="D254" s="0" t="s">
        <v>227</v>
      </c>
      <c r="E254" s="0" t="s">
        <v>228</v>
      </c>
      <c r="F254" s="0" t="n">
        <v>2023</v>
      </c>
      <c r="G254" s="0" t="n">
        <v>727.630707580242</v>
      </c>
    </row>
    <row r="255" customFormat="false" ht="12.8" hidden="false" customHeight="false" outlineLevel="0" collapsed="false">
      <c r="A255" s="0" t="n">
        <v>763</v>
      </c>
      <c r="B255" s="0" t="s">
        <v>53</v>
      </c>
      <c r="C255" s="0" t="s">
        <v>261</v>
      </c>
      <c r="D255" s="0" t="s">
        <v>227</v>
      </c>
      <c r="E255" s="0" t="s">
        <v>228</v>
      </c>
      <c r="F255" s="0" t="n">
        <v>2023</v>
      </c>
      <c r="G255" s="0" t="n">
        <v>632.199948678571</v>
      </c>
    </row>
    <row r="256" customFormat="false" ht="12.8" hidden="false" customHeight="false" outlineLevel="0" collapsed="false">
      <c r="A256" s="0" t="n">
        <v>764</v>
      </c>
      <c r="B256" s="0" t="s">
        <v>20</v>
      </c>
      <c r="C256" s="0" t="s">
        <v>261</v>
      </c>
      <c r="D256" s="0" t="s">
        <v>227</v>
      </c>
      <c r="E256" s="0" t="s">
        <v>228</v>
      </c>
      <c r="F256" s="0" t="n">
        <v>2023</v>
      </c>
      <c r="G256" s="0" t="n">
        <v>2173.57617953946</v>
      </c>
    </row>
    <row r="257" customFormat="false" ht="12.8" hidden="false" customHeight="false" outlineLevel="0" collapsed="false">
      <c r="A257" s="0" t="n">
        <v>767</v>
      </c>
      <c r="B257" s="0" t="s">
        <v>141</v>
      </c>
      <c r="C257" s="0" t="s">
        <v>261</v>
      </c>
      <c r="D257" s="0" t="s">
        <v>227</v>
      </c>
      <c r="E257" s="0" t="s">
        <v>228</v>
      </c>
      <c r="F257" s="0" t="n">
        <v>2023</v>
      </c>
      <c r="G257" s="0" t="n">
        <v>559.207268395405</v>
      </c>
    </row>
    <row r="258" customFormat="false" ht="12.8" hidden="false" customHeight="false" outlineLevel="0" collapsed="false">
      <c r="A258" s="0" t="n">
        <v>770</v>
      </c>
      <c r="B258" s="0" t="s">
        <v>164</v>
      </c>
      <c r="C258" s="0" t="s">
        <v>261</v>
      </c>
      <c r="D258" s="0" t="s">
        <v>227</v>
      </c>
      <c r="E258" s="0" t="s">
        <v>228</v>
      </c>
      <c r="F258" s="0" t="n">
        <v>2023</v>
      </c>
      <c r="G258" s="0" t="n">
        <v>821.625868560127</v>
      </c>
    </row>
    <row r="259" customFormat="false" ht="12.8" hidden="false" customHeight="false" outlineLevel="0" collapsed="false">
      <c r="A259" s="0" t="n">
        <v>773</v>
      </c>
      <c r="B259" s="0" t="s">
        <v>71</v>
      </c>
      <c r="C259" s="0" t="s">
        <v>261</v>
      </c>
      <c r="D259" s="0" t="s">
        <v>227</v>
      </c>
      <c r="E259" s="0" t="s">
        <v>228</v>
      </c>
      <c r="F259" s="0" t="n">
        <v>2023</v>
      </c>
      <c r="G259" s="0" t="n">
        <v>2161.88192573737</v>
      </c>
    </row>
    <row r="260" customFormat="false" ht="12.8" hidden="false" customHeight="false" outlineLevel="0" collapsed="false">
      <c r="A260" s="0" t="n">
        <v>776</v>
      </c>
      <c r="B260" s="0" t="s">
        <v>232</v>
      </c>
      <c r="C260" s="0" t="s">
        <v>261</v>
      </c>
      <c r="D260" s="0" t="s">
        <v>227</v>
      </c>
      <c r="E260" s="0" t="s">
        <v>228</v>
      </c>
      <c r="F260" s="0" t="n">
        <v>2023</v>
      </c>
      <c r="G260" s="0" t="n">
        <v>977.175236051668</v>
      </c>
    </row>
    <row r="261" customFormat="false" ht="12.8" hidden="false" customHeight="false" outlineLevel="0" collapsed="false">
      <c r="A261" s="0" t="n">
        <v>779</v>
      </c>
      <c r="B261" s="0" t="s">
        <v>127</v>
      </c>
      <c r="C261" s="0" t="s">
        <v>261</v>
      </c>
      <c r="D261" s="0" t="s">
        <v>227</v>
      </c>
      <c r="E261" s="0" t="s">
        <v>228</v>
      </c>
      <c r="F261" s="0" t="n">
        <v>2023</v>
      </c>
      <c r="G261" s="0" t="n">
        <v>316.081667321787</v>
      </c>
    </row>
    <row r="262" customFormat="false" ht="12.8" hidden="false" customHeight="false" outlineLevel="0" collapsed="false">
      <c r="A262" s="0" t="n">
        <v>782</v>
      </c>
      <c r="B262" s="0" t="s">
        <v>235</v>
      </c>
      <c r="C262" s="0" t="s">
        <v>261</v>
      </c>
      <c r="D262" s="0" t="s">
        <v>227</v>
      </c>
      <c r="E262" s="0" t="s">
        <v>228</v>
      </c>
      <c r="F262" s="0" t="n">
        <v>2023</v>
      </c>
      <c r="G262" s="0" t="n">
        <v>1508.34526341402</v>
      </c>
    </row>
    <row r="263" customFormat="false" ht="12.8" hidden="false" customHeight="false" outlineLevel="0" collapsed="false">
      <c r="A263" s="0" t="n">
        <v>785</v>
      </c>
      <c r="B263" s="0" t="s">
        <v>75</v>
      </c>
      <c r="C263" s="0" t="s">
        <v>261</v>
      </c>
      <c r="D263" s="0" t="s">
        <v>227</v>
      </c>
      <c r="E263" s="0" t="s">
        <v>228</v>
      </c>
      <c r="F263" s="0" t="n">
        <v>2023</v>
      </c>
      <c r="G263" s="0" t="n">
        <v>1330.3627205205</v>
      </c>
    </row>
    <row r="264" customFormat="false" ht="12.8" hidden="false" customHeight="false" outlineLevel="0" collapsed="false">
      <c r="A264" s="0" t="n">
        <v>788</v>
      </c>
      <c r="B264" s="0" t="s">
        <v>136</v>
      </c>
      <c r="C264" s="0" t="s">
        <v>261</v>
      </c>
      <c r="D264" s="0" t="s">
        <v>227</v>
      </c>
      <c r="E264" s="0" t="s">
        <v>228</v>
      </c>
      <c r="F264" s="0" t="n">
        <v>2023</v>
      </c>
      <c r="G264" s="0" t="n">
        <v>569.051890297671</v>
      </c>
    </row>
    <row r="265" customFormat="false" ht="12.8" hidden="false" customHeight="false" outlineLevel="0" collapsed="false">
      <c r="A265" s="0" t="n">
        <v>791</v>
      </c>
      <c r="B265" s="0" t="s">
        <v>72</v>
      </c>
      <c r="C265" s="0" t="s">
        <v>261</v>
      </c>
      <c r="D265" s="0" t="s">
        <v>227</v>
      </c>
      <c r="E265" s="0" t="s">
        <v>228</v>
      </c>
      <c r="F265" s="0" t="n">
        <v>2023</v>
      </c>
      <c r="G265" s="0" t="n">
        <v>1336.16872779606</v>
      </c>
    </row>
    <row r="266" customFormat="false" ht="12.8" hidden="false" customHeight="false" outlineLevel="0" collapsed="false">
      <c r="A266" s="0" t="n">
        <v>794</v>
      </c>
      <c r="B266" s="0" t="s">
        <v>124</v>
      </c>
      <c r="C266" s="0" t="s">
        <v>261</v>
      </c>
      <c r="D266" s="0" t="s">
        <v>227</v>
      </c>
      <c r="E266" s="0" t="s">
        <v>228</v>
      </c>
      <c r="F266" s="0" t="n">
        <v>2023</v>
      </c>
      <c r="G266" s="0" t="n">
        <v>1078.41883032675</v>
      </c>
    </row>
    <row r="267" customFormat="false" ht="12.8" hidden="false" customHeight="false" outlineLevel="0" collapsed="false">
      <c r="A267" s="0" t="n">
        <v>797</v>
      </c>
      <c r="B267" s="0" t="s">
        <v>153</v>
      </c>
      <c r="C267" s="0" t="s">
        <v>261</v>
      </c>
      <c r="D267" s="0" t="s">
        <v>227</v>
      </c>
      <c r="E267" s="0" t="s">
        <v>228</v>
      </c>
      <c r="F267" s="0" t="n">
        <v>2023</v>
      </c>
      <c r="G267" s="0" t="n">
        <v>1238.81338457971</v>
      </c>
    </row>
    <row r="268" customFormat="false" ht="12.8" hidden="false" customHeight="false" outlineLevel="0" collapsed="false">
      <c r="A268" s="0" t="n">
        <v>800</v>
      </c>
      <c r="B268" s="0" t="s">
        <v>260</v>
      </c>
      <c r="C268" s="0" t="s">
        <v>261</v>
      </c>
      <c r="D268" s="0" t="s">
        <v>227</v>
      </c>
      <c r="E268" s="0" t="s">
        <v>228</v>
      </c>
      <c r="F268" s="0" t="n">
        <v>2023</v>
      </c>
      <c r="G268" s="0" t="n">
        <v>615.985960456711</v>
      </c>
    </row>
    <row r="269" customFormat="false" ht="12.8" hidden="false" customHeight="false" outlineLevel="0" collapsed="false">
      <c r="A269" s="0" t="n">
        <v>803</v>
      </c>
      <c r="B269" s="0" t="s">
        <v>17</v>
      </c>
      <c r="C269" s="0" t="s">
        <v>261</v>
      </c>
      <c r="D269" s="0" t="s">
        <v>227</v>
      </c>
      <c r="E269" s="0" t="s">
        <v>228</v>
      </c>
      <c r="F269" s="0" t="n">
        <v>2023</v>
      </c>
      <c r="G269" s="0" t="n">
        <v>1445.89611266465</v>
      </c>
    </row>
    <row r="270" customFormat="false" ht="12.8" hidden="false" customHeight="false" outlineLevel="0" collapsed="false">
      <c r="A270" s="0" t="n">
        <v>806</v>
      </c>
      <c r="B270" s="0" t="s">
        <v>145</v>
      </c>
      <c r="C270" s="0" t="s">
        <v>261</v>
      </c>
      <c r="D270" s="0" t="s">
        <v>227</v>
      </c>
      <c r="E270" s="0" t="s">
        <v>228</v>
      </c>
      <c r="F270" s="0" t="n">
        <v>2023</v>
      </c>
      <c r="G270" s="0" t="n">
        <v>557.954898731075</v>
      </c>
    </row>
    <row r="271" customFormat="false" ht="12.8" hidden="false" customHeight="false" outlineLevel="0" collapsed="false">
      <c r="A271" s="0" t="n">
        <v>809</v>
      </c>
      <c r="B271" s="0" t="s">
        <v>60</v>
      </c>
      <c r="C271" s="0" t="s">
        <v>261</v>
      </c>
      <c r="D271" s="0" t="s">
        <v>227</v>
      </c>
      <c r="E271" s="0" t="s">
        <v>228</v>
      </c>
      <c r="F271" s="0" t="n">
        <v>2023</v>
      </c>
      <c r="G271" s="0" t="n">
        <v>1484.60558748135</v>
      </c>
    </row>
    <row r="272" customFormat="false" ht="12.8" hidden="false" customHeight="false" outlineLevel="0" collapsed="false">
      <c r="A272" s="0" t="n">
        <v>812</v>
      </c>
      <c r="B272" s="0" t="s">
        <v>100</v>
      </c>
      <c r="C272" s="0" t="s">
        <v>261</v>
      </c>
      <c r="D272" s="0" t="s">
        <v>227</v>
      </c>
      <c r="E272" s="0" t="s">
        <v>228</v>
      </c>
      <c r="F272" s="0" t="n">
        <v>2023</v>
      </c>
      <c r="G272" s="0" t="n">
        <v>653.847945410799</v>
      </c>
    </row>
    <row r="273" customFormat="false" ht="12.8" hidden="false" customHeight="false" outlineLevel="0" collapsed="false">
      <c r="A273" s="0" t="n">
        <v>815</v>
      </c>
      <c r="B273" s="0" t="s">
        <v>238</v>
      </c>
      <c r="C273" s="0" t="s">
        <v>261</v>
      </c>
      <c r="D273" s="0" t="s">
        <v>227</v>
      </c>
      <c r="E273" s="0" t="s">
        <v>228</v>
      </c>
      <c r="F273" s="0" t="n">
        <v>2023</v>
      </c>
      <c r="G273" s="0" t="n">
        <v>1403.21057957896</v>
      </c>
    </row>
    <row r="274" customFormat="false" ht="12.8" hidden="false" customHeight="false" outlineLevel="0" collapsed="false">
      <c r="A274" s="0" t="n">
        <v>818</v>
      </c>
      <c r="B274" s="0" t="s">
        <v>252</v>
      </c>
      <c r="C274" s="0" t="s">
        <v>261</v>
      </c>
      <c r="D274" s="0" t="s">
        <v>227</v>
      </c>
      <c r="E274" s="0" t="s">
        <v>228</v>
      </c>
      <c r="F274" s="0" t="n">
        <v>2023</v>
      </c>
      <c r="G274" s="0" t="n">
        <v>1114.45208770707</v>
      </c>
    </row>
    <row r="275" customFormat="false" ht="12.8" hidden="false" customHeight="false" outlineLevel="0" collapsed="false">
      <c r="A275" s="0" t="n">
        <v>821</v>
      </c>
      <c r="B275" s="0" t="s">
        <v>251</v>
      </c>
      <c r="C275" s="0" t="s">
        <v>261</v>
      </c>
      <c r="D275" s="0" t="s">
        <v>227</v>
      </c>
      <c r="E275" s="0" t="s">
        <v>228</v>
      </c>
      <c r="F275" s="0" t="n">
        <v>2023</v>
      </c>
      <c r="G275" s="0" t="n">
        <v>1288.27396154559</v>
      </c>
    </row>
    <row r="276" customFormat="false" ht="12.8" hidden="false" customHeight="false" outlineLevel="0" collapsed="false">
      <c r="A276" s="0" t="n">
        <v>824</v>
      </c>
      <c r="B276" s="0" t="s">
        <v>110</v>
      </c>
      <c r="C276" s="0" t="s">
        <v>261</v>
      </c>
      <c r="D276" s="0" t="s">
        <v>227</v>
      </c>
      <c r="E276" s="0" t="s">
        <v>228</v>
      </c>
      <c r="F276" s="0" t="n">
        <v>2023</v>
      </c>
      <c r="G276" s="0" t="n">
        <v>2289.22996096257</v>
      </c>
    </row>
    <row r="277" customFormat="false" ht="12.8" hidden="false" customHeight="false" outlineLevel="0" collapsed="false">
      <c r="A277" s="0" t="n">
        <v>827</v>
      </c>
      <c r="B277" s="0" t="s">
        <v>152</v>
      </c>
      <c r="C277" s="0" t="s">
        <v>261</v>
      </c>
      <c r="D277" s="0" t="s">
        <v>227</v>
      </c>
      <c r="E277" s="0" t="s">
        <v>228</v>
      </c>
      <c r="F277" s="0" t="n">
        <v>2023</v>
      </c>
      <c r="G277" s="0" t="n">
        <v>1069.12466204233</v>
      </c>
    </row>
    <row r="278" customFormat="false" ht="12.8" hidden="false" customHeight="false" outlineLevel="0" collapsed="false">
      <c r="A278" s="0" t="n">
        <v>830</v>
      </c>
      <c r="B278" s="0" t="s">
        <v>236</v>
      </c>
      <c r="C278" s="0" t="s">
        <v>261</v>
      </c>
      <c r="D278" s="0" t="s">
        <v>227</v>
      </c>
      <c r="E278" s="0" t="s">
        <v>228</v>
      </c>
      <c r="F278" s="0" t="n">
        <v>2023</v>
      </c>
      <c r="G278" s="0" t="n">
        <v>751.831959645067</v>
      </c>
    </row>
    <row r="279" customFormat="false" ht="12.8" hidden="false" customHeight="false" outlineLevel="0" collapsed="false">
      <c r="A279" s="0" t="n">
        <v>833</v>
      </c>
      <c r="B279" s="0" t="s">
        <v>240</v>
      </c>
      <c r="C279" s="0" t="s">
        <v>261</v>
      </c>
      <c r="D279" s="0" t="s">
        <v>227</v>
      </c>
      <c r="E279" s="0" t="s">
        <v>228</v>
      </c>
      <c r="F279" s="0" t="n">
        <v>2023</v>
      </c>
      <c r="G279" s="0" t="n">
        <v>1291.18819133107</v>
      </c>
    </row>
    <row r="280" customFormat="false" ht="12.8" hidden="false" customHeight="false" outlineLevel="0" collapsed="false">
      <c r="A280" s="0" t="n">
        <v>836</v>
      </c>
      <c r="B280" s="0" t="s">
        <v>43</v>
      </c>
      <c r="C280" s="0" t="s">
        <v>261</v>
      </c>
      <c r="D280" s="0" t="s">
        <v>227</v>
      </c>
      <c r="E280" s="0" t="s">
        <v>228</v>
      </c>
      <c r="F280" s="0" t="n">
        <v>2023</v>
      </c>
      <c r="G280" s="0" t="n">
        <v>1286.64517734248</v>
      </c>
    </row>
    <row r="281" customFormat="false" ht="12.8" hidden="false" customHeight="false" outlineLevel="0" collapsed="false">
      <c r="A281" s="0" t="n">
        <v>839</v>
      </c>
      <c r="B281" s="0" t="s">
        <v>155</v>
      </c>
      <c r="C281" s="0" t="s">
        <v>261</v>
      </c>
      <c r="D281" s="0" t="s">
        <v>227</v>
      </c>
      <c r="E281" s="0" t="s">
        <v>228</v>
      </c>
      <c r="F281" s="0" t="n">
        <v>2023</v>
      </c>
      <c r="G281" s="0" t="n">
        <v>922.307357778569</v>
      </c>
    </row>
    <row r="282" customFormat="false" ht="12.8" hidden="false" customHeight="false" outlineLevel="0" collapsed="false">
      <c r="A282" s="0" t="n">
        <v>842</v>
      </c>
      <c r="B282" s="0" t="s">
        <v>37</v>
      </c>
      <c r="C282" s="0" t="s">
        <v>261</v>
      </c>
      <c r="D282" s="0" t="s">
        <v>227</v>
      </c>
      <c r="E282" s="0" t="s">
        <v>228</v>
      </c>
      <c r="F282" s="0" t="n">
        <v>2023</v>
      </c>
      <c r="G282" s="0" t="n">
        <v>577.42664939027</v>
      </c>
    </row>
    <row r="283" customFormat="false" ht="12.8" hidden="false" customHeight="false" outlineLevel="0" collapsed="false">
      <c r="A283" s="0" t="n">
        <v>845</v>
      </c>
      <c r="B283" s="0" t="s">
        <v>96</v>
      </c>
      <c r="C283" s="0" t="s">
        <v>261</v>
      </c>
      <c r="D283" s="0" t="s">
        <v>227</v>
      </c>
      <c r="E283" s="0" t="s">
        <v>228</v>
      </c>
      <c r="F283" s="0" t="n">
        <v>2023</v>
      </c>
      <c r="G283" s="0" t="n">
        <v>729.227897156229</v>
      </c>
    </row>
    <row r="284" customFormat="false" ht="12.8" hidden="false" customHeight="false" outlineLevel="0" collapsed="false">
      <c r="A284" s="0" t="n">
        <v>848</v>
      </c>
      <c r="B284" s="0" t="s">
        <v>231</v>
      </c>
      <c r="C284" s="0" t="s">
        <v>261</v>
      </c>
      <c r="D284" s="0" t="s">
        <v>227</v>
      </c>
      <c r="E284" s="0" t="s">
        <v>228</v>
      </c>
      <c r="F284" s="0" t="n">
        <v>2023</v>
      </c>
      <c r="G284" s="0" t="n">
        <v>2079.20861278875</v>
      </c>
    </row>
    <row r="285" customFormat="false" ht="12.8" hidden="false" customHeight="false" outlineLevel="0" collapsed="false">
      <c r="A285" s="0" t="n">
        <v>851</v>
      </c>
      <c r="B285" s="0" t="s">
        <v>250</v>
      </c>
      <c r="C285" s="0" t="s">
        <v>261</v>
      </c>
      <c r="D285" s="0" t="s">
        <v>227</v>
      </c>
      <c r="E285" s="0" t="s">
        <v>228</v>
      </c>
      <c r="F285" s="0" t="n">
        <v>2023</v>
      </c>
      <c r="G285" s="0" t="n">
        <v>540.583246605895</v>
      </c>
    </row>
    <row r="286" customFormat="false" ht="12.8" hidden="false" customHeight="false" outlineLevel="0" collapsed="false">
      <c r="A286" s="0" t="n">
        <v>854</v>
      </c>
      <c r="B286" s="0" t="s">
        <v>86</v>
      </c>
      <c r="C286" s="0" t="s">
        <v>261</v>
      </c>
      <c r="D286" s="0" t="s">
        <v>227</v>
      </c>
      <c r="E286" s="0" t="s">
        <v>228</v>
      </c>
      <c r="F286" s="0" t="n">
        <v>2023</v>
      </c>
      <c r="G286" s="0" t="n">
        <v>1172.11239821726</v>
      </c>
    </row>
    <row r="287" customFormat="false" ht="12.8" hidden="false" customHeight="false" outlineLevel="0" collapsed="false">
      <c r="A287" s="0" t="n">
        <v>857</v>
      </c>
      <c r="B287" s="0" t="s">
        <v>154</v>
      </c>
      <c r="C287" s="0" t="s">
        <v>261</v>
      </c>
      <c r="D287" s="0" t="s">
        <v>227</v>
      </c>
      <c r="E287" s="0" t="s">
        <v>228</v>
      </c>
      <c r="F287" s="0" t="n">
        <v>2023</v>
      </c>
      <c r="G287" s="0" t="n">
        <v>986.914860187985</v>
      </c>
    </row>
    <row r="288" customFormat="false" ht="12.8" hidden="false" customHeight="false" outlineLevel="0" collapsed="false">
      <c r="A288" s="0" t="n">
        <v>860</v>
      </c>
      <c r="B288" s="0" t="s">
        <v>214</v>
      </c>
      <c r="C288" s="0" t="s">
        <v>261</v>
      </c>
      <c r="D288" s="0" t="s">
        <v>227</v>
      </c>
      <c r="E288" s="0" t="s">
        <v>228</v>
      </c>
      <c r="F288" s="0" t="n">
        <v>2023</v>
      </c>
      <c r="G288" s="0" t="n">
        <v>1866.96971323331</v>
      </c>
    </row>
    <row r="289" customFormat="false" ht="12.8" hidden="false" customHeight="false" outlineLevel="0" collapsed="false">
      <c r="A289" s="0" t="n">
        <v>863</v>
      </c>
      <c r="B289" s="0" t="s">
        <v>92</v>
      </c>
      <c r="C289" s="0" t="s">
        <v>261</v>
      </c>
      <c r="D289" s="0" t="s">
        <v>227</v>
      </c>
      <c r="E289" s="0" t="s">
        <v>228</v>
      </c>
      <c r="F289" s="0" t="n">
        <v>2023</v>
      </c>
      <c r="G289" s="0" t="n">
        <v>732.538599711627</v>
      </c>
    </row>
    <row r="290" customFormat="false" ht="12.8" hidden="false" customHeight="false" outlineLevel="0" collapsed="false">
      <c r="A290" s="0" t="n">
        <v>866</v>
      </c>
      <c r="B290" s="0" t="s">
        <v>234</v>
      </c>
      <c r="C290" s="0" t="s">
        <v>261</v>
      </c>
      <c r="D290" s="0" t="s">
        <v>227</v>
      </c>
      <c r="E290" s="0" t="s">
        <v>228</v>
      </c>
      <c r="F290" s="0" t="n">
        <v>2023</v>
      </c>
      <c r="G290" s="0" t="n">
        <v>1187.52459526151</v>
      </c>
    </row>
    <row r="291" customFormat="false" ht="12.8" hidden="false" customHeight="false" outlineLevel="0" collapsed="false">
      <c r="A291" s="0" t="n">
        <v>869</v>
      </c>
      <c r="B291" s="0" t="s">
        <v>140</v>
      </c>
      <c r="C291" s="0" t="s">
        <v>261</v>
      </c>
      <c r="D291" s="0" t="s">
        <v>227</v>
      </c>
      <c r="E291" s="0" t="s">
        <v>228</v>
      </c>
      <c r="F291" s="0" t="n">
        <v>2023</v>
      </c>
      <c r="G291" s="0" t="n">
        <v>753.314095087373</v>
      </c>
    </row>
    <row r="292" customFormat="false" ht="12.8" hidden="false" customHeight="false" outlineLevel="0" collapsed="false">
      <c r="A292" s="0" t="n">
        <v>872</v>
      </c>
      <c r="B292" s="0" t="s">
        <v>18</v>
      </c>
      <c r="C292" s="0" t="s">
        <v>261</v>
      </c>
      <c r="D292" s="0" t="s">
        <v>227</v>
      </c>
      <c r="E292" s="0" t="s">
        <v>228</v>
      </c>
      <c r="F292" s="0" t="n">
        <v>2023</v>
      </c>
      <c r="G292" s="0" t="n">
        <v>972.071216793908</v>
      </c>
    </row>
    <row r="293" customFormat="false" ht="12.8" hidden="false" customHeight="false" outlineLevel="0" collapsed="false">
      <c r="A293" s="0" t="n">
        <v>875</v>
      </c>
      <c r="B293" s="0" t="s">
        <v>81</v>
      </c>
      <c r="C293" s="0" t="s">
        <v>261</v>
      </c>
      <c r="D293" s="0" t="s">
        <v>227</v>
      </c>
      <c r="E293" s="0" t="s">
        <v>228</v>
      </c>
      <c r="F293" s="0" t="n">
        <v>2023</v>
      </c>
      <c r="G293" s="0" t="n">
        <v>1843.99470995652</v>
      </c>
    </row>
    <row r="294" customFormat="false" ht="12.8" hidden="false" customHeight="false" outlineLevel="0" collapsed="false">
      <c r="A294" s="0" t="n">
        <v>878</v>
      </c>
      <c r="B294" s="0" t="s">
        <v>26</v>
      </c>
      <c r="C294" s="0" t="s">
        <v>261</v>
      </c>
      <c r="D294" s="0" t="s">
        <v>227</v>
      </c>
      <c r="E294" s="0" t="s">
        <v>228</v>
      </c>
      <c r="F294" s="0" t="n">
        <v>2023</v>
      </c>
      <c r="G294" s="0" t="n">
        <v>631.620787398951</v>
      </c>
    </row>
    <row r="295" customFormat="false" ht="12.8" hidden="false" customHeight="false" outlineLevel="0" collapsed="false">
      <c r="A295" s="0" t="n">
        <v>881</v>
      </c>
      <c r="B295" s="0" t="s">
        <v>68</v>
      </c>
      <c r="C295" s="0" t="s">
        <v>261</v>
      </c>
      <c r="D295" s="0" t="s">
        <v>227</v>
      </c>
      <c r="E295" s="0" t="s">
        <v>228</v>
      </c>
      <c r="F295" s="0" t="n">
        <v>2023</v>
      </c>
      <c r="G295" s="0" t="n">
        <v>1375.33972140235</v>
      </c>
    </row>
    <row r="296" customFormat="false" ht="12.8" hidden="false" customHeight="false" outlineLevel="0" collapsed="false">
      <c r="A296" s="0" t="n">
        <v>884</v>
      </c>
      <c r="B296" s="0" t="s">
        <v>32</v>
      </c>
      <c r="C296" s="0" t="s">
        <v>261</v>
      </c>
      <c r="D296" s="0" t="s">
        <v>227</v>
      </c>
      <c r="E296" s="0" t="s">
        <v>228</v>
      </c>
      <c r="F296" s="0" t="n">
        <v>2023</v>
      </c>
      <c r="G296" s="0" t="n">
        <v>1029.68950186486</v>
      </c>
    </row>
    <row r="297" customFormat="false" ht="12.8" hidden="false" customHeight="false" outlineLevel="0" collapsed="false">
      <c r="A297" s="0" t="n">
        <v>887</v>
      </c>
      <c r="B297" s="0" t="s">
        <v>257</v>
      </c>
      <c r="C297" s="0" t="s">
        <v>261</v>
      </c>
      <c r="D297" s="0" t="s">
        <v>227</v>
      </c>
      <c r="E297" s="0" t="s">
        <v>228</v>
      </c>
      <c r="F297" s="0" t="n">
        <v>2023</v>
      </c>
      <c r="G297" s="0" t="n">
        <v>1022.45175265022</v>
      </c>
    </row>
    <row r="298" customFormat="false" ht="12.8" hidden="false" customHeight="false" outlineLevel="0" collapsed="false">
      <c r="A298" s="0" t="n">
        <v>890</v>
      </c>
      <c r="B298" s="0" t="s">
        <v>10</v>
      </c>
      <c r="C298" s="0" t="s">
        <v>261</v>
      </c>
      <c r="D298" s="0" t="s">
        <v>227</v>
      </c>
      <c r="E298" s="0" t="s">
        <v>228</v>
      </c>
      <c r="F298" s="0" t="n">
        <v>2023</v>
      </c>
      <c r="G298" s="0" t="n">
        <v>1400.98920479454</v>
      </c>
    </row>
    <row r="299" customFormat="false" ht="12.8" hidden="false" customHeight="false" outlineLevel="0" collapsed="false">
      <c r="A299" s="0" t="n">
        <v>893</v>
      </c>
      <c r="B299" s="0" t="s">
        <v>254</v>
      </c>
      <c r="C299" s="0" t="s">
        <v>261</v>
      </c>
      <c r="D299" s="0" t="s">
        <v>227</v>
      </c>
      <c r="E299" s="0" t="s">
        <v>228</v>
      </c>
      <c r="F299" s="0" t="n">
        <v>2023</v>
      </c>
      <c r="G299" s="0" t="n">
        <v>1598.03927857859</v>
      </c>
    </row>
    <row r="300" customFormat="false" ht="12.8" hidden="false" customHeight="false" outlineLevel="0" collapsed="false">
      <c r="A300" s="0" t="n">
        <v>896</v>
      </c>
      <c r="B300" s="0" t="s">
        <v>157</v>
      </c>
      <c r="C300" s="0" t="s">
        <v>261</v>
      </c>
      <c r="D300" s="0" t="s">
        <v>227</v>
      </c>
      <c r="E300" s="0" t="s">
        <v>228</v>
      </c>
      <c r="F300" s="0" t="n">
        <v>2023</v>
      </c>
      <c r="G300" s="0" t="n">
        <v>1083.76380591363</v>
      </c>
    </row>
    <row r="301" customFormat="false" ht="12.8" hidden="false" customHeight="false" outlineLevel="0" collapsed="false">
      <c r="A301" s="0" t="n">
        <v>899</v>
      </c>
      <c r="B301" s="0" t="s">
        <v>244</v>
      </c>
      <c r="C301" s="0" t="s">
        <v>261</v>
      </c>
      <c r="D301" s="0" t="s">
        <v>227</v>
      </c>
      <c r="E301" s="0" t="s">
        <v>228</v>
      </c>
      <c r="F301" s="0" t="n">
        <v>2023</v>
      </c>
      <c r="G301" s="0" t="n">
        <v>1574.54388171779</v>
      </c>
    </row>
    <row r="302" customFormat="false" ht="12.8" hidden="false" customHeight="false" outlineLevel="0" collapsed="false">
      <c r="A302" s="0" t="n">
        <v>902</v>
      </c>
      <c r="B302" s="0" t="s">
        <v>85</v>
      </c>
      <c r="C302" s="0" t="s">
        <v>261</v>
      </c>
      <c r="D302" s="0" t="s">
        <v>227</v>
      </c>
      <c r="E302" s="0" t="s">
        <v>228</v>
      </c>
      <c r="F302" s="0" t="n">
        <v>2023</v>
      </c>
      <c r="G302" s="0" t="n">
        <v>718.748963662731</v>
      </c>
    </row>
    <row r="303" customFormat="false" ht="12.8" hidden="false" customHeight="false" outlineLevel="0" collapsed="false">
      <c r="A303" s="0" t="n">
        <v>905</v>
      </c>
      <c r="B303" s="0" t="s">
        <v>115</v>
      </c>
      <c r="C303" s="0" t="s">
        <v>261</v>
      </c>
      <c r="D303" s="0" t="s">
        <v>227</v>
      </c>
      <c r="E303" s="0" t="s">
        <v>228</v>
      </c>
      <c r="F303" s="0" t="n">
        <v>2023</v>
      </c>
      <c r="G303" s="0" t="n">
        <v>600.369356715568</v>
      </c>
    </row>
    <row r="304" customFormat="false" ht="12.8" hidden="false" customHeight="false" outlineLevel="0" collapsed="false">
      <c r="A304" s="0" t="n">
        <v>908</v>
      </c>
      <c r="B304" s="0" t="s">
        <v>121</v>
      </c>
      <c r="C304" s="0" t="s">
        <v>261</v>
      </c>
      <c r="D304" s="0" t="s">
        <v>227</v>
      </c>
      <c r="E304" s="0" t="s">
        <v>228</v>
      </c>
      <c r="F304" s="0" t="n">
        <v>2023</v>
      </c>
      <c r="G304" s="0" t="n">
        <v>1518.51788516053</v>
      </c>
    </row>
    <row r="305" customFormat="false" ht="12.8" hidden="false" customHeight="false" outlineLevel="0" collapsed="false">
      <c r="A305" s="0" t="n">
        <v>911</v>
      </c>
      <c r="B305" s="0" t="s">
        <v>175</v>
      </c>
      <c r="C305" s="0" t="s">
        <v>261</v>
      </c>
      <c r="D305" s="0" t="s">
        <v>227</v>
      </c>
      <c r="E305" s="0" t="s">
        <v>228</v>
      </c>
      <c r="F305" s="0" t="n">
        <v>2023</v>
      </c>
      <c r="G305" s="0" t="n">
        <v>630.454572772535</v>
      </c>
    </row>
    <row r="306" customFormat="false" ht="12.8" hidden="false" customHeight="false" outlineLevel="0" collapsed="false">
      <c r="A306" s="0" t="n">
        <v>914</v>
      </c>
      <c r="B306" s="0" t="s">
        <v>91</v>
      </c>
      <c r="C306" s="0" t="s">
        <v>261</v>
      </c>
      <c r="D306" s="0" t="s">
        <v>227</v>
      </c>
      <c r="E306" s="0" t="s">
        <v>228</v>
      </c>
      <c r="F306" s="0" t="n">
        <v>2023</v>
      </c>
      <c r="G306" s="0" t="n">
        <v>635.868391698911</v>
      </c>
    </row>
    <row r="307" customFormat="false" ht="12.8" hidden="false" customHeight="false" outlineLevel="0" collapsed="false">
      <c r="A307" s="0" t="n">
        <v>917</v>
      </c>
      <c r="B307" s="0" t="s">
        <v>163</v>
      </c>
      <c r="C307" s="0" t="s">
        <v>261</v>
      </c>
      <c r="D307" s="0" t="s">
        <v>227</v>
      </c>
      <c r="E307" s="0" t="s">
        <v>228</v>
      </c>
      <c r="F307" s="0" t="n">
        <v>2023</v>
      </c>
      <c r="G307" s="0" t="n">
        <v>620.07789915161</v>
      </c>
    </row>
    <row r="308" customFormat="false" ht="12.8" hidden="false" customHeight="false" outlineLevel="0" collapsed="false">
      <c r="A308" s="0" t="n">
        <v>920</v>
      </c>
      <c r="B308" s="0" t="s">
        <v>247</v>
      </c>
      <c r="C308" s="0" t="s">
        <v>261</v>
      </c>
      <c r="D308" s="0" t="s">
        <v>227</v>
      </c>
      <c r="E308" s="0" t="s">
        <v>228</v>
      </c>
      <c r="F308" s="0" t="n">
        <v>2023</v>
      </c>
      <c r="G308" s="0" t="n">
        <v>1659.65429844846</v>
      </c>
    </row>
    <row r="309" customFormat="false" ht="12.8" hidden="false" customHeight="false" outlineLevel="0" collapsed="false">
      <c r="A309" s="0" t="n">
        <v>923</v>
      </c>
      <c r="B309" s="0" t="s">
        <v>70</v>
      </c>
      <c r="C309" s="0" t="s">
        <v>261</v>
      </c>
      <c r="D309" s="0" t="s">
        <v>227</v>
      </c>
      <c r="E309" s="0" t="s">
        <v>228</v>
      </c>
      <c r="F309" s="0" t="n">
        <v>2023</v>
      </c>
      <c r="G309" s="0" t="n">
        <v>1151.37819300237</v>
      </c>
    </row>
    <row r="310" customFormat="false" ht="12.8" hidden="false" customHeight="false" outlineLevel="0" collapsed="false">
      <c r="A310" s="0" t="n">
        <v>926</v>
      </c>
      <c r="B310" s="0" t="s">
        <v>160</v>
      </c>
      <c r="C310" s="0" t="s">
        <v>261</v>
      </c>
      <c r="D310" s="0" t="s">
        <v>227</v>
      </c>
      <c r="E310" s="0" t="s">
        <v>228</v>
      </c>
      <c r="F310" s="0" t="n">
        <v>2023</v>
      </c>
      <c r="G310" s="0" t="n">
        <v>1003.40480681396</v>
      </c>
    </row>
    <row r="311" customFormat="false" ht="12.8" hidden="false" customHeight="false" outlineLevel="0" collapsed="false">
      <c r="A311" s="0" t="n">
        <v>929</v>
      </c>
      <c r="B311" s="0" t="s">
        <v>111</v>
      </c>
      <c r="C311" s="0" t="s">
        <v>261</v>
      </c>
      <c r="D311" s="0" t="s">
        <v>227</v>
      </c>
      <c r="E311" s="0" t="s">
        <v>228</v>
      </c>
      <c r="F311" s="0" t="n">
        <v>2023</v>
      </c>
      <c r="G311" s="0" t="n">
        <v>1495.1573651476</v>
      </c>
    </row>
    <row r="312" customFormat="false" ht="12.8" hidden="false" customHeight="false" outlineLevel="0" collapsed="false">
      <c r="A312" s="0" t="n">
        <v>932</v>
      </c>
      <c r="B312" s="0" t="s">
        <v>118</v>
      </c>
      <c r="C312" s="0" t="s">
        <v>261</v>
      </c>
      <c r="D312" s="0" t="s">
        <v>227</v>
      </c>
      <c r="E312" s="0" t="s">
        <v>228</v>
      </c>
      <c r="F312" s="0" t="n">
        <v>2023</v>
      </c>
      <c r="G312" s="0" t="n">
        <v>1255.50510525558</v>
      </c>
    </row>
    <row r="313" customFormat="false" ht="12.8" hidden="false" customHeight="false" outlineLevel="0" collapsed="false">
      <c r="A313" s="0" t="n">
        <v>935</v>
      </c>
      <c r="B313" s="0" t="s">
        <v>52</v>
      </c>
      <c r="C313" s="0" t="s">
        <v>261</v>
      </c>
      <c r="D313" s="0" t="s">
        <v>227</v>
      </c>
      <c r="E313" s="0" t="s">
        <v>228</v>
      </c>
      <c r="F313" s="0" t="n">
        <v>2023</v>
      </c>
      <c r="G313" s="0" t="n">
        <v>761.690203915543</v>
      </c>
    </row>
    <row r="314" customFormat="false" ht="12.8" hidden="false" customHeight="false" outlineLevel="0" collapsed="false">
      <c r="A314" s="0" t="n">
        <v>938</v>
      </c>
      <c r="B314" s="0" t="s">
        <v>255</v>
      </c>
      <c r="C314" s="0" t="s">
        <v>261</v>
      </c>
      <c r="D314" s="0" t="s">
        <v>227</v>
      </c>
      <c r="E314" s="0" t="s">
        <v>228</v>
      </c>
      <c r="F314" s="0" t="n">
        <v>2023</v>
      </c>
      <c r="G314" s="0" t="n">
        <v>1620.9036109024</v>
      </c>
    </row>
    <row r="315" customFormat="false" ht="12.8" hidden="false" customHeight="false" outlineLevel="0" collapsed="false">
      <c r="A315" s="0" t="n">
        <v>941</v>
      </c>
      <c r="B315" s="0" t="s">
        <v>108</v>
      </c>
      <c r="C315" s="0" t="s">
        <v>261</v>
      </c>
      <c r="D315" s="0" t="s">
        <v>227</v>
      </c>
      <c r="E315" s="0" t="s">
        <v>228</v>
      </c>
      <c r="F315" s="0" t="n">
        <v>2023</v>
      </c>
      <c r="G315" s="0" t="n">
        <v>2427.16269125326</v>
      </c>
    </row>
    <row r="316" customFormat="false" ht="12.8" hidden="false" customHeight="false" outlineLevel="0" collapsed="false">
      <c r="A316" s="0" t="n">
        <v>944</v>
      </c>
      <c r="B316" s="0" t="s">
        <v>15</v>
      </c>
      <c r="C316" s="0" t="s">
        <v>261</v>
      </c>
      <c r="D316" s="0" t="s">
        <v>227</v>
      </c>
      <c r="E316" s="0" t="s">
        <v>228</v>
      </c>
      <c r="F316" s="0" t="n">
        <v>2023</v>
      </c>
      <c r="G316" s="0" t="n">
        <v>819.735571383858</v>
      </c>
    </row>
    <row r="317" customFormat="false" ht="12.8" hidden="false" customHeight="false" outlineLevel="0" collapsed="false">
      <c r="A317" s="0" t="n">
        <v>947</v>
      </c>
      <c r="B317" s="0" t="s">
        <v>132</v>
      </c>
      <c r="C317" s="0" t="s">
        <v>261</v>
      </c>
      <c r="D317" s="0" t="s">
        <v>227</v>
      </c>
      <c r="E317" s="0" t="s">
        <v>228</v>
      </c>
      <c r="F317" s="0" t="n">
        <v>2023</v>
      </c>
      <c r="G317" s="0" t="n">
        <v>880.860424242656</v>
      </c>
    </row>
    <row r="318" customFormat="false" ht="12.8" hidden="false" customHeight="false" outlineLevel="0" collapsed="false">
      <c r="A318" s="0" t="n">
        <v>950</v>
      </c>
      <c r="B318" s="0" t="s">
        <v>28</v>
      </c>
      <c r="C318" s="0" t="s">
        <v>261</v>
      </c>
      <c r="D318" s="0" t="s">
        <v>227</v>
      </c>
      <c r="E318" s="0" t="s">
        <v>228</v>
      </c>
      <c r="F318" s="0" t="n">
        <v>2023</v>
      </c>
      <c r="G318" s="0" t="n">
        <v>595.043386576351</v>
      </c>
    </row>
    <row r="319" customFormat="false" ht="12.8" hidden="false" customHeight="false" outlineLevel="0" collapsed="false">
      <c r="A319" s="0" t="n">
        <v>953</v>
      </c>
      <c r="B319" s="0" t="s">
        <v>168</v>
      </c>
      <c r="C319" s="0" t="s">
        <v>261</v>
      </c>
      <c r="D319" s="0" t="s">
        <v>227</v>
      </c>
      <c r="E319" s="0" t="s">
        <v>228</v>
      </c>
      <c r="F319" s="0" t="n">
        <v>2023</v>
      </c>
      <c r="G319" s="0" t="n">
        <v>1953.17011790524</v>
      </c>
    </row>
    <row r="320" customFormat="false" ht="12.8" hidden="false" customHeight="false" outlineLevel="0" collapsed="false">
      <c r="A320" s="0" t="n">
        <v>956</v>
      </c>
      <c r="B320" s="0" t="s">
        <v>197</v>
      </c>
      <c r="C320" s="0" t="s">
        <v>261</v>
      </c>
      <c r="D320" s="0" t="s">
        <v>227</v>
      </c>
      <c r="E320" s="0" t="s">
        <v>228</v>
      </c>
      <c r="F320" s="0" t="n">
        <v>2023</v>
      </c>
      <c r="G320" s="0" t="n">
        <v>1365.27508851019</v>
      </c>
    </row>
    <row r="321" customFormat="false" ht="12.8" hidden="false" customHeight="false" outlineLevel="0" collapsed="false">
      <c r="A321" s="0" t="n">
        <v>959</v>
      </c>
      <c r="B321" s="0" t="s">
        <v>137</v>
      </c>
      <c r="C321" s="0" t="s">
        <v>261</v>
      </c>
      <c r="D321" s="0" t="s">
        <v>227</v>
      </c>
      <c r="E321" s="0" t="s">
        <v>228</v>
      </c>
      <c r="F321" s="0" t="n">
        <v>2023</v>
      </c>
      <c r="G321" s="0" t="n">
        <v>644.280374221319</v>
      </c>
    </row>
    <row r="322" customFormat="false" ht="12.8" hidden="false" customHeight="false" outlineLevel="0" collapsed="false">
      <c r="A322" s="0" t="n">
        <v>962</v>
      </c>
      <c r="B322" s="0" t="s">
        <v>161</v>
      </c>
      <c r="C322" s="0" t="s">
        <v>261</v>
      </c>
      <c r="D322" s="0" t="s">
        <v>227</v>
      </c>
      <c r="E322" s="0" t="s">
        <v>228</v>
      </c>
      <c r="F322" s="0" t="n">
        <v>2023</v>
      </c>
      <c r="G322" s="0" t="n">
        <v>1274.60680741395</v>
      </c>
    </row>
    <row r="323" customFormat="false" ht="12.8" hidden="false" customHeight="false" outlineLevel="0" collapsed="false">
      <c r="A323" s="0" t="n">
        <v>965</v>
      </c>
      <c r="B323" s="0" t="s">
        <v>113</v>
      </c>
      <c r="C323" s="0" t="s">
        <v>261</v>
      </c>
      <c r="D323" s="0" t="s">
        <v>227</v>
      </c>
      <c r="E323" s="0" t="s">
        <v>228</v>
      </c>
      <c r="F323" s="0" t="n">
        <v>2023</v>
      </c>
      <c r="G323" s="0" t="n">
        <v>820.482051137034</v>
      </c>
    </row>
    <row r="324" customFormat="false" ht="12.8" hidden="false" customHeight="false" outlineLevel="0" collapsed="false">
      <c r="A324" s="0" t="n">
        <v>968</v>
      </c>
      <c r="B324" s="0" t="s">
        <v>229</v>
      </c>
      <c r="C324" s="0" t="s">
        <v>261</v>
      </c>
      <c r="D324" s="0" t="s">
        <v>227</v>
      </c>
      <c r="E324" s="0" t="s">
        <v>228</v>
      </c>
      <c r="F324" s="0" t="n">
        <v>2023</v>
      </c>
      <c r="G324" s="0" t="n">
        <v>1441.3788972417</v>
      </c>
    </row>
    <row r="325" customFormat="false" ht="12.8" hidden="false" customHeight="false" outlineLevel="0" collapsed="false">
      <c r="A325" s="0" t="n">
        <v>971</v>
      </c>
      <c r="B325" s="0" t="s">
        <v>22</v>
      </c>
      <c r="C325" s="0" t="s">
        <v>261</v>
      </c>
      <c r="D325" s="0" t="s">
        <v>227</v>
      </c>
      <c r="E325" s="0" t="s">
        <v>228</v>
      </c>
      <c r="F325" s="0" t="n">
        <v>2023</v>
      </c>
      <c r="G325" s="0" t="n">
        <v>1268.07906956946</v>
      </c>
    </row>
    <row r="326" customFormat="false" ht="12.8" hidden="false" customHeight="false" outlineLevel="0" collapsed="false">
      <c r="A326" s="0" t="n">
        <v>974</v>
      </c>
      <c r="B326" s="0" t="s">
        <v>73</v>
      </c>
      <c r="C326" s="0" t="s">
        <v>261</v>
      </c>
      <c r="D326" s="0" t="s">
        <v>227</v>
      </c>
      <c r="E326" s="0" t="s">
        <v>228</v>
      </c>
      <c r="F326" s="0" t="n">
        <v>2023</v>
      </c>
      <c r="G326" s="0" t="n">
        <v>755.56320438851</v>
      </c>
    </row>
    <row r="327" customFormat="false" ht="12.8" hidden="false" customHeight="false" outlineLevel="0" collapsed="false">
      <c r="A327" s="0" t="n">
        <v>977</v>
      </c>
      <c r="B327" s="0" t="s">
        <v>63</v>
      </c>
      <c r="C327" s="0" t="s">
        <v>261</v>
      </c>
      <c r="D327" s="0" t="s">
        <v>227</v>
      </c>
      <c r="E327" s="0" t="s">
        <v>228</v>
      </c>
      <c r="F327" s="0" t="n">
        <v>2023</v>
      </c>
      <c r="G327" s="0" t="n">
        <v>607.873499693707</v>
      </c>
    </row>
    <row r="328" customFormat="false" ht="12.8" hidden="false" customHeight="false" outlineLevel="0" collapsed="false">
      <c r="A328" s="0" t="n">
        <v>980</v>
      </c>
      <c r="B328" s="0" t="s">
        <v>119</v>
      </c>
      <c r="C328" s="0" t="s">
        <v>261</v>
      </c>
      <c r="D328" s="0" t="s">
        <v>227</v>
      </c>
      <c r="E328" s="0" t="s">
        <v>228</v>
      </c>
      <c r="F328" s="0" t="n">
        <v>2023</v>
      </c>
      <c r="G328" s="0" t="n">
        <v>2294.31514132217</v>
      </c>
    </row>
    <row r="329" customFormat="false" ht="12.8" hidden="false" customHeight="false" outlineLevel="0" collapsed="false">
      <c r="A329" s="0" t="n">
        <v>983</v>
      </c>
      <c r="B329" s="0" t="s">
        <v>173</v>
      </c>
      <c r="C329" s="0" t="s">
        <v>261</v>
      </c>
      <c r="D329" s="0" t="s">
        <v>227</v>
      </c>
      <c r="E329" s="0" t="s">
        <v>228</v>
      </c>
      <c r="F329" s="0" t="n">
        <v>2023</v>
      </c>
      <c r="G329" s="0" t="n">
        <v>1205.36684475893</v>
      </c>
    </row>
    <row r="330" customFormat="false" ht="12.8" hidden="false" customHeight="false" outlineLevel="0" collapsed="false">
      <c r="A330" s="0" t="n">
        <v>986</v>
      </c>
      <c r="B330" s="0" t="s">
        <v>97</v>
      </c>
      <c r="C330" s="0" t="s">
        <v>261</v>
      </c>
      <c r="D330" s="0" t="s">
        <v>227</v>
      </c>
      <c r="E330" s="0" t="s">
        <v>228</v>
      </c>
      <c r="F330" s="0" t="n">
        <v>2023</v>
      </c>
      <c r="G330" s="0" t="n">
        <v>941.626828484268</v>
      </c>
    </row>
    <row r="331" customFormat="false" ht="12.8" hidden="false" customHeight="false" outlineLevel="0" collapsed="false">
      <c r="A331" s="0" t="n">
        <v>989</v>
      </c>
      <c r="B331" s="0" t="s">
        <v>45</v>
      </c>
      <c r="C331" s="0" t="s">
        <v>261</v>
      </c>
      <c r="D331" s="0" t="s">
        <v>227</v>
      </c>
      <c r="E331" s="0" t="s">
        <v>228</v>
      </c>
      <c r="F331" s="0" t="n">
        <v>2023</v>
      </c>
      <c r="G331" s="0" t="n">
        <v>1011.88686194909</v>
      </c>
    </row>
    <row r="332" customFormat="false" ht="12.8" hidden="false" customHeight="false" outlineLevel="0" collapsed="false">
      <c r="A332" s="0" t="n">
        <v>992</v>
      </c>
      <c r="B332" s="0" t="s">
        <v>104</v>
      </c>
      <c r="C332" s="0" t="s">
        <v>261</v>
      </c>
      <c r="D332" s="0" t="s">
        <v>227</v>
      </c>
      <c r="E332" s="0" t="s">
        <v>228</v>
      </c>
      <c r="F332" s="0" t="n">
        <v>2023</v>
      </c>
      <c r="G332" s="0" t="n">
        <v>575.439118432081</v>
      </c>
    </row>
    <row r="333" customFormat="false" ht="12.8" hidden="false" customHeight="false" outlineLevel="0" collapsed="false">
      <c r="A333" s="0" t="n">
        <v>995</v>
      </c>
      <c r="B333" s="0" t="s">
        <v>107</v>
      </c>
      <c r="C333" s="0" t="s">
        <v>261</v>
      </c>
      <c r="D333" s="0" t="s">
        <v>227</v>
      </c>
      <c r="E333" s="0" t="s">
        <v>228</v>
      </c>
      <c r="F333" s="0" t="n">
        <v>2023</v>
      </c>
      <c r="G333" s="0" t="n">
        <v>526.230688856991</v>
      </c>
    </row>
    <row r="334" customFormat="false" ht="12.8" hidden="false" customHeight="false" outlineLevel="0" collapsed="false">
      <c r="A334" s="0" t="n">
        <v>998</v>
      </c>
      <c r="B334" s="0" t="s">
        <v>2</v>
      </c>
      <c r="C334" s="0" t="s">
        <v>261</v>
      </c>
      <c r="D334" s="0" t="s">
        <v>227</v>
      </c>
      <c r="E334" s="0" t="s">
        <v>228</v>
      </c>
      <c r="F334" s="0" t="n">
        <v>2023</v>
      </c>
      <c r="G334" s="0" t="n">
        <v>648.860323306621</v>
      </c>
    </row>
    <row r="335" customFormat="false" ht="12.8" hidden="false" customHeight="false" outlineLevel="0" collapsed="false">
      <c r="A335" s="0" t="n">
        <v>1001</v>
      </c>
      <c r="B335" s="0" t="s">
        <v>82</v>
      </c>
      <c r="C335" s="0" t="s">
        <v>261</v>
      </c>
      <c r="D335" s="0" t="s">
        <v>227</v>
      </c>
      <c r="E335" s="0" t="s">
        <v>228</v>
      </c>
      <c r="F335" s="0" t="n">
        <v>2023</v>
      </c>
      <c r="G335" s="0" t="n">
        <v>540.717133960873</v>
      </c>
    </row>
    <row r="336" customFormat="false" ht="12.8" hidden="false" customHeight="false" outlineLevel="0" collapsed="false">
      <c r="A336" s="0" t="n">
        <v>1004</v>
      </c>
      <c r="B336" s="0" t="s">
        <v>11</v>
      </c>
      <c r="C336" s="0" t="s">
        <v>261</v>
      </c>
      <c r="D336" s="0" t="s">
        <v>227</v>
      </c>
      <c r="E336" s="0" t="s">
        <v>228</v>
      </c>
      <c r="F336" s="0" t="n">
        <v>2023</v>
      </c>
      <c r="G336" s="0" t="n">
        <v>1178.74005614441</v>
      </c>
    </row>
    <row r="337" customFormat="false" ht="12.8" hidden="false" customHeight="false" outlineLevel="0" collapsed="false">
      <c r="A337" s="0" t="n">
        <v>1007</v>
      </c>
      <c r="B337" s="0" t="s">
        <v>77</v>
      </c>
      <c r="C337" s="0" t="s">
        <v>261</v>
      </c>
      <c r="D337" s="0" t="s">
        <v>227</v>
      </c>
      <c r="E337" s="0" t="s">
        <v>228</v>
      </c>
      <c r="F337" s="0" t="n">
        <v>2023</v>
      </c>
      <c r="G337" s="0" t="n">
        <v>1279.58651270086</v>
      </c>
    </row>
    <row r="338" customFormat="false" ht="12.8" hidden="false" customHeight="false" outlineLevel="0" collapsed="false">
      <c r="A338" s="0" t="n">
        <v>1010</v>
      </c>
      <c r="B338" s="0" t="s">
        <v>35</v>
      </c>
      <c r="C338" s="0" t="s">
        <v>261</v>
      </c>
      <c r="D338" s="0" t="s">
        <v>227</v>
      </c>
      <c r="E338" s="0" t="s">
        <v>228</v>
      </c>
      <c r="F338" s="0" t="n">
        <v>2023</v>
      </c>
      <c r="G338" s="0" t="n">
        <v>1420.28275280651</v>
      </c>
    </row>
    <row r="339" customFormat="false" ht="12.8" hidden="false" customHeight="false" outlineLevel="0" collapsed="false">
      <c r="A339" s="0" t="n">
        <v>1013</v>
      </c>
      <c r="B339" s="0" t="s">
        <v>149</v>
      </c>
      <c r="C339" s="0" t="s">
        <v>261</v>
      </c>
      <c r="D339" s="0" t="s">
        <v>227</v>
      </c>
      <c r="E339" s="0" t="s">
        <v>228</v>
      </c>
      <c r="F339" s="0" t="n">
        <v>2023</v>
      </c>
      <c r="G339" s="0" t="n">
        <v>1707.549791395</v>
      </c>
    </row>
    <row r="340" customFormat="false" ht="12.8" hidden="false" customHeight="false" outlineLevel="0" collapsed="false">
      <c r="A340" s="0" t="n">
        <v>1016</v>
      </c>
      <c r="B340" s="0" t="s">
        <v>174</v>
      </c>
      <c r="C340" s="0" t="s">
        <v>261</v>
      </c>
      <c r="D340" s="0" t="s">
        <v>227</v>
      </c>
      <c r="E340" s="0" t="s">
        <v>228</v>
      </c>
      <c r="F340" s="0" t="n">
        <v>2023</v>
      </c>
      <c r="G340" s="0" t="n">
        <v>582.666743860499</v>
      </c>
    </row>
    <row r="341" customFormat="false" ht="12.8" hidden="false" customHeight="false" outlineLevel="0" collapsed="false">
      <c r="A341" s="0" t="n">
        <v>1019</v>
      </c>
      <c r="B341" s="0" t="s">
        <v>169</v>
      </c>
      <c r="C341" s="0" t="s">
        <v>261</v>
      </c>
      <c r="D341" s="0" t="s">
        <v>227</v>
      </c>
      <c r="E341" s="0" t="s">
        <v>228</v>
      </c>
      <c r="F341" s="0" t="n">
        <v>2023</v>
      </c>
      <c r="G341" s="0" t="n">
        <v>1441.54576421817</v>
      </c>
    </row>
    <row r="342" customFormat="false" ht="12.8" hidden="false" customHeight="false" outlineLevel="0" collapsed="false">
      <c r="A342" s="0" t="n">
        <v>1022</v>
      </c>
      <c r="B342" s="0" t="s">
        <v>126</v>
      </c>
      <c r="C342" s="0" t="s">
        <v>261</v>
      </c>
      <c r="D342" s="0" t="s">
        <v>227</v>
      </c>
      <c r="E342" s="0" t="s">
        <v>228</v>
      </c>
      <c r="F342" s="0" t="n">
        <v>2023</v>
      </c>
      <c r="G342" s="0" t="n">
        <v>1567.84799211971</v>
      </c>
    </row>
    <row r="343" customFormat="false" ht="12.8" hidden="false" customHeight="false" outlineLevel="0" collapsed="false">
      <c r="A343" s="0" t="n">
        <v>1025</v>
      </c>
      <c r="B343" s="0" t="s">
        <v>16</v>
      </c>
      <c r="C343" s="0" t="s">
        <v>261</v>
      </c>
      <c r="D343" s="0" t="s">
        <v>227</v>
      </c>
      <c r="E343" s="0" t="s">
        <v>228</v>
      </c>
      <c r="F343" s="0" t="n">
        <v>2023</v>
      </c>
      <c r="G343" s="0" t="n">
        <v>605.379544490946</v>
      </c>
    </row>
    <row r="344" customFormat="false" ht="12.8" hidden="false" customHeight="false" outlineLevel="0" collapsed="false">
      <c r="A344" s="0" t="n">
        <v>1028</v>
      </c>
      <c r="B344" s="0" t="s">
        <v>66</v>
      </c>
      <c r="C344" s="0" t="s">
        <v>261</v>
      </c>
      <c r="D344" s="0" t="s">
        <v>227</v>
      </c>
      <c r="E344" s="0" t="s">
        <v>228</v>
      </c>
      <c r="F344" s="0" t="n">
        <v>2023</v>
      </c>
      <c r="G344" s="0" t="n">
        <v>829.781175812982</v>
      </c>
    </row>
    <row r="345" customFormat="false" ht="12.8" hidden="false" customHeight="false" outlineLevel="0" collapsed="false">
      <c r="A345" s="0" t="n">
        <v>1031</v>
      </c>
      <c r="B345" s="0" t="s">
        <v>176</v>
      </c>
      <c r="C345" s="0" t="s">
        <v>261</v>
      </c>
      <c r="D345" s="0" t="s">
        <v>227</v>
      </c>
      <c r="E345" s="0" t="s">
        <v>228</v>
      </c>
      <c r="F345" s="0" t="n">
        <v>2023</v>
      </c>
      <c r="G345" s="0" t="n">
        <v>899.192942820302</v>
      </c>
    </row>
    <row r="346" customFormat="false" ht="12.8" hidden="false" customHeight="false" outlineLevel="0" collapsed="false">
      <c r="A346" s="0" t="n">
        <v>1034</v>
      </c>
      <c r="B346" s="0" t="s">
        <v>8</v>
      </c>
      <c r="C346" s="0" t="s">
        <v>261</v>
      </c>
      <c r="D346" s="0" t="s">
        <v>227</v>
      </c>
      <c r="E346" s="0" t="s">
        <v>228</v>
      </c>
      <c r="F346" s="0" t="n">
        <v>2023</v>
      </c>
      <c r="G346" s="0" t="n">
        <v>857.280524392308</v>
      </c>
    </row>
    <row r="347" customFormat="false" ht="12.8" hidden="false" customHeight="false" outlineLevel="0" collapsed="false">
      <c r="A347" s="0" t="n">
        <v>1037</v>
      </c>
      <c r="B347" s="0" t="s">
        <v>80</v>
      </c>
      <c r="C347" s="0" t="s">
        <v>261</v>
      </c>
      <c r="D347" s="0" t="s">
        <v>227</v>
      </c>
      <c r="E347" s="0" t="s">
        <v>228</v>
      </c>
      <c r="F347" s="0" t="n">
        <v>2023</v>
      </c>
      <c r="G347" s="0" t="n">
        <v>448.109223976005</v>
      </c>
    </row>
    <row r="348" customFormat="false" ht="12.8" hidden="false" customHeight="false" outlineLevel="0" collapsed="false">
      <c r="A348" s="0" t="n">
        <v>1040</v>
      </c>
      <c r="B348" s="0" t="s">
        <v>139</v>
      </c>
      <c r="C348" s="0" t="s">
        <v>261</v>
      </c>
      <c r="D348" s="0" t="s">
        <v>227</v>
      </c>
      <c r="E348" s="0" t="s">
        <v>228</v>
      </c>
      <c r="F348" s="0" t="n">
        <v>2023</v>
      </c>
      <c r="G348" s="0" t="n">
        <v>1133.57406735426</v>
      </c>
    </row>
    <row r="349" customFormat="false" ht="12.8" hidden="false" customHeight="false" outlineLevel="0" collapsed="false">
      <c r="A349" s="0" t="n">
        <v>1043</v>
      </c>
      <c r="B349" s="0" t="s">
        <v>40</v>
      </c>
      <c r="C349" s="0" t="s">
        <v>261</v>
      </c>
      <c r="D349" s="0" t="s">
        <v>227</v>
      </c>
      <c r="E349" s="0" t="s">
        <v>228</v>
      </c>
      <c r="F349" s="0" t="n">
        <v>2023</v>
      </c>
      <c r="G349" s="0" t="n">
        <v>1418.32228032509</v>
      </c>
    </row>
    <row r="350" customFormat="false" ht="12.8" hidden="false" customHeight="false" outlineLevel="0" collapsed="false">
      <c r="A350" s="0" t="n">
        <v>1046</v>
      </c>
      <c r="B350" s="0" t="s">
        <v>134</v>
      </c>
      <c r="C350" s="0" t="s">
        <v>261</v>
      </c>
      <c r="D350" s="0" t="s">
        <v>227</v>
      </c>
      <c r="E350" s="0" t="s">
        <v>228</v>
      </c>
      <c r="F350" s="0" t="n">
        <v>2023</v>
      </c>
      <c r="G350" s="0" t="n">
        <v>784.96602942243</v>
      </c>
    </row>
    <row r="351" customFormat="false" ht="12.8" hidden="false" customHeight="false" outlineLevel="0" collapsed="false">
      <c r="A351" s="0" t="n">
        <v>1049</v>
      </c>
      <c r="B351" s="0" t="s">
        <v>171</v>
      </c>
      <c r="C351" s="0" t="s">
        <v>261</v>
      </c>
      <c r="D351" s="0" t="s">
        <v>227</v>
      </c>
      <c r="E351" s="0" t="s">
        <v>228</v>
      </c>
      <c r="F351" s="0" t="n">
        <v>2023</v>
      </c>
      <c r="G351" s="0" t="n">
        <v>1415.74427310488</v>
      </c>
    </row>
    <row r="352" customFormat="false" ht="12.8" hidden="false" customHeight="false" outlineLevel="0" collapsed="false">
      <c r="A352" s="0" t="n">
        <v>1052</v>
      </c>
      <c r="B352" s="0" t="s">
        <v>102</v>
      </c>
      <c r="C352" s="0" t="s">
        <v>261</v>
      </c>
      <c r="D352" s="0" t="s">
        <v>227</v>
      </c>
      <c r="E352" s="0" t="s">
        <v>228</v>
      </c>
      <c r="F352" s="0" t="n">
        <v>2023</v>
      </c>
      <c r="G352" s="0" t="n">
        <v>751.628599713878</v>
      </c>
    </row>
    <row r="353" customFormat="false" ht="12.8" hidden="false" customHeight="false" outlineLevel="0" collapsed="false">
      <c r="A353" s="0" t="n">
        <v>1055</v>
      </c>
      <c r="B353" s="0" t="s">
        <v>57</v>
      </c>
      <c r="C353" s="0" t="s">
        <v>261</v>
      </c>
      <c r="D353" s="0" t="s">
        <v>227</v>
      </c>
      <c r="E353" s="0" t="s">
        <v>228</v>
      </c>
      <c r="F353" s="0" t="n">
        <v>2023</v>
      </c>
      <c r="G353" s="0" t="n">
        <v>890.983622805402</v>
      </c>
    </row>
    <row r="354" customFormat="false" ht="12.8" hidden="false" customHeight="false" outlineLevel="0" collapsed="false">
      <c r="A354" s="0" t="n">
        <v>1058</v>
      </c>
      <c r="B354" s="0" t="s">
        <v>78</v>
      </c>
      <c r="C354" s="0" t="s">
        <v>261</v>
      </c>
      <c r="D354" s="0" t="s">
        <v>227</v>
      </c>
      <c r="E354" s="0" t="s">
        <v>228</v>
      </c>
      <c r="F354" s="0" t="n">
        <v>2023</v>
      </c>
      <c r="G354" s="0" t="n">
        <v>849.297253548135</v>
      </c>
    </row>
    <row r="355" customFormat="false" ht="12.8" hidden="false" customHeight="false" outlineLevel="0" collapsed="false">
      <c r="A355" s="0" t="n">
        <v>1061</v>
      </c>
      <c r="B355" s="0" t="s">
        <v>172</v>
      </c>
      <c r="C355" s="0" t="s">
        <v>261</v>
      </c>
      <c r="D355" s="0" t="s">
        <v>227</v>
      </c>
      <c r="E355" s="0" t="s">
        <v>228</v>
      </c>
      <c r="F355" s="0" t="n">
        <v>2023</v>
      </c>
      <c r="G355" s="0" t="n">
        <v>842.5413910392</v>
      </c>
    </row>
    <row r="356" customFormat="false" ht="12.8" hidden="false" customHeight="false" outlineLevel="0" collapsed="false">
      <c r="A356" s="0" t="n">
        <v>1064</v>
      </c>
      <c r="B356" s="0" t="s">
        <v>151</v>
      </c>
      <c r="C356" s="0" t="s">
        <v>261</v>
      </c>
      <c r="D356" s="0" t="s">
        <v>227</v>
      </c>
      <c r="E356" s="0" t="s">
        <v>228</v>
      </c>
      <c r="F356" s="0" t="n">
        <v>2023</v>
      </c>
      <c r="G356" s="0" t="n">
        <v>733.075967863348</v>
      </c>
    </row>
    <row r="357" customFormat="false" ht="12.8" hidden="false" customHeight="false" outlineLevel="0" collapsed="false">
      <c r="A357" s="0" t="n">
        <v>1067</v>
      </c>
      <c r="B357" s="0" t="s">
        <v>87</v>
      </c>
      <c r="C357" s="0" t="s">
        <v>261</v>
      </c>
      <c r="D357" s="0" t="s">
        <v>227</v>
      </c>
      <c r="E357" s="0" t="s">
        <v>228</v>
      </c>
      <c r="F357" s="0" t="n">
        <v>2023</v>
      </c>
      <c r="G357" s="0" t="n">
        <v>699.154723881761</v>
      </c>
    </row>
    <row r="358" customFormat="false" ht="12.8" hidden="false" customHeight="false" outlineLevel="0" collapsed="false">
      <c r="A358" s="0" t="n">
        <v>1070</v>
      </c>
      <c r="B358" s="0" t="s">
        <v>59</v>
      </c>
      <c r="C358" s="0" t="s">
        <v>261</v>
      </c>
      <c r="D358" s="0" t="s">
        <v>227</v>
      </c>
      <c r="E358" s="0" t="s">
        <v>228</v>
      </c>
      <c r="F358" s="0" t="n">
        <v>2023</v>
      </c>
      <c r="G358" s="0" t="n">
        <v>1069.93192788776</v>
      </c>
    </row>
    <row r="359" customFormat="false" ht="12.8" hidden="false" customHeight="false" outlineLevel="0" collapsed="false">
      <c r="A359" s="0" t="n">
        <v>1073</v>
      </c>
      <c r="B359" s="0" t="s">
        <v>38</v>
      </c>
      <c r="C359" s="0" t="s">
        <v>261</v>
      </c>
      <c r="D359" s="0" t="s">
        <v>227</v>
      </c>
      <c r="E359" s="0" t="s">
        <v>228</v>
      </c>
      <c r="F359" s="0" t="n">
        <v>2023</v>
      </c>
      <c r="G359" s="0" t="n">
        <v>796.296007791239</v>
      </c>
    </row>
    <row r="360" customFormat="false" ht="12.8" hidden="false" customHeight="false" outlineLevel="0" collapsed="false">
      <c r="A360" s="0" t="n">
        <v>1076</v>
      </c>
      <c r="B360" s="0" t="s">
        <v>239</v>
      </c>
      <c r="C360" s="0" t="s">
        <v>261</v>
      </c>
      <c r="D360" s="0" t="s">
        <v>227</v>
      </c>
      <c r="E360" s="0" t="s">
        <v>228</v>
      </c>
      <c r="F360" s="0" t="n">
        <v>2023</v>
      </c>
      <c r="G360" s="0" t="n">
        <v>1168.12923707191</v>
      </c>
    </row>
    <row r="361" customFormat="false" ht="12.8" hidden="false" customHeight="false" outlineLevel="0" collapsed="false">
      <c r="A361" s="0" t="n">
        <v>1079</v>
      </c>
      <c r="B361" s="0" t="s">
        <v>49</v>
      </c>
      <c r="C361" s="0" t="s">
        <v>261</v>
      </c>
      <c r="D361" s="0" t="s">
        <v>227</v>
      </c>
      <c r="E361" s="0" t="s">
        <v>228</v>
      </c>
      <c r="F361" s="0" t="n">
        <v>2023</v>
      </c>
      <c r="G361" s="0" t="n">
        <v>629.942530252738</v>
      </c>
    </row>
    <row r="362" customFormat="false" ht="12.8" hidden="false" customHeight="false" outlineLevel="0" collapsed="false">
      <c r="A362" s="0" t="n">
        <v>1082</v>
      </c>
      <c r="B362" s="0" t="s">
        <v>99</v>
      </c>
      <c r="C362" s="0" t="s">
        <v>261</v>
      </c>
      <c r="D362" s="0" t="s">
        <v>227</v>
      </c>
      <c r="E362" s="0" t="s">
        <v>228</v>
      </c>
      <c r="F362" s="0" t="n">
        <v>2023</v>
      </c>
      <c r="G362" s="0" t="n">
        <v>965.035754823884</v>
      </c>
    </row>
    <row r="363" customFormat="false" ht="12.8" hidden="false" customHeight="false" outlineLevel="0" collapsed="false">
      <c r="A363" s="0" t="n">
        <v>1085</v>
      </c>
      <c r="B363" s="0" t="s">
        <v>31</v>
      </c>
      <c r="C363" s="0" t="s">
        <v>261</v>
      </c>
      <c r="D363" s="0" t="s">
        <v>227</v>
      </c>
      <c r="E363" s="0" t="s">
        <v>228</v>
      </c>
      <c r="F363" s="0" t="n">
        <v>2023</v>
      </c>
      <c r="G363" s="0" t="n">
        <v>1579.14626616082</v>
      </c>
    </row>
    <row r="364" customFormat="false" ht="12.8" hidden="false" customHeight="false" outlineLevel="0" collapsed="false">
      <c r="A364" s="0" t="n">
        <v>1088</v>
      </c>
      <c r="B364" s="0" t="s">
        <v>69</v>
      </c>
      <c r="C364" s="0" t="s">
        <v>261</v>
      </c>
      <c r="D364" s="0" t="s">
        <v>227</v>
      </c>
      <c r="E364" s="0" t="s">
        <v>228</v>
      </c>
      <c r="F364" s="0" t="n">
        <v>2023</v>
      </c>
      <c r="G364" s="0" t="n">
        <v>1784.15748778901</v>
      </c>
    </row>
    <row r="365" customFormat="false" ht="12.8" hidden="false" customHeight="false" outlineLevel="0" collapsed="false">
      <c r="A365" s="0" t="n">
        <v>1091</v>
      </c>
      <c r="B365" s="0" t="s">
        <v>19</v>
      </c>
      <c r="C365" s="0" t="s">
        <v>261</v>
      </c>
      <c r="D365" s="0" t="s">
        <v>227</v>
      </c>
      <c r="E365" s="0" t="s">
        <v>228</v>
      </c>
      <c r="F365" s="0" t="n">
        <v>2023</v>
      </c>
      <c r="G365" s="0" t="n">
        <v>666.881066687611</v>
      </c>
    </row>
    <row r="366" customFormat="false" ht="12.8" hidden="false" customHeight="false" outlineLevel="0" collapsed="false">
      <c r="A366" s="0" t="n">
        <v>1094</v>
      </c>
      <c r="B366" s="0" t="s">
        <v>167</v>
      </c>
      <c r="C366" s="0" t="s">
        <v>261</v>
      </c>
      <c r="D366" s="0" t="s">
        <v>227</v>
      </c>
      <c r="E366" s="0" t="s">
        <v>228</v>
      </c>
      <c r="F366" s="0" t="n">
        <v>2023</v>
      </c>
      <c r="G366" s="0" t="n">
        <v>614.085115500423</v>
      </c>
    </row>
    <row r="367" customFormat="false" ht="12.8" hidden="false" customHeight="false" outlineLevel="0" collapsed="false">
      <c r="A367" s="0" t="n">
        <v>1097</v>
      </c>
      <c r="B367" s="0" t="s">
        <v>98</v>
      </c>
      <c r="C367" s="0" t="s">
        <v>261</v>
      </c>
      <c r="D367" s="0" t="s">
        <v>227</v>
      </c>
      <c r="E367" s="0" t="s">
        <v>228</v>
      </c>
      <c r="F367" s="0" t="n">
        <v>2023</v>
      </c>
      <c r="G367" s="0" t="n">
        <v>685.137741409929</v>
      </c>
    </row>
    <row r="368" customFormat="false" ht="12.8" hidden="false" customHeight="false" outlineLevel="0" collapsed="false">
      <c r="A368" s="0" t="n">
        <v>1100</v>
      </c>
      <c r="B368" s="0" t="s">
        <v>88</v>
      </c>
      <c r="C368" s="0" t="s">
        <v>261</v>
      </c>
      <c r="D368" s="0" t="s">
        <v>227</v>
      </c>
      <c r="E368" s="0" t="s">
        <v>228</v>
      </c>
      <c r="F368" s="0" t="n">
        <v>2023</v>
      </c>
      <c r="G368" s="0" t="n">
        <v>971.535449548795</v>
      </c>
    </row>
    <row r="369" customFormat="false" ht="12.8" hidden="false" customHeight="false" outlineLevel="0" collapsed="false">
      <c r="A369" s="0" t="n">
        <v>1103</v>
      </c>
      <c r="B369" s="0" t="s">
        <v>3</v>
      </c>
      <c r="C369" s="0" t="s">
        <v>261</v>
      </c>
      <c r="D369" s="0" t="s">
        <v>227</v>
      </c>
      <c r="E369" s="0" t="s">
        <v>228</v>
      </c>
      <c r="F369" s="0" t="n">
        <v>2023</v>
      </c>
      <c r="G369" s="0" t="n">
        <v>1285.21707366875</v>
      </c>
    </row>
    <row r="370" customFormat="false" ht="12.8" hidden="false" customHeight="false" outlineLevel="0" collapsed="false">
      <c r="A370" s="0" t="n">
        <v>1106</v>
      </c>
      <c r="B370" s="0" t="s">
        <v>42</v>
      </c>
      <c r="C370" s="0" t="s">
        <v>261</v>
      </c>
      <c r="D370" s="0" t="s">
        <v>227</v>
      </c>
      <c r="E370" s="0" t="s">
        <v>228</v>
      </c>
      <c r="F370" s="0" t="n">
        <v>2023</v>
      </c>
      <c r="G370" s="0" t="n">
        <v>1224.1177599385</v>
      </c>
    </row>
    <row r="371" customFormat="false" ht="12.8" hidden="false" customHeight="false" outlineLevel="0" collapsed="false">
      <c r="A371" s="0" t="n">
        <v>1109</v>
      </c>
      <c r="B371" s="0" t="s">
        <v>237</v>
      </c>
      <c r="C371" s="0" t="s">
        <v>261</v>
      </c>
      <c r="D371" s="0" t="s">
        <v>227</v>
      </c>
      <c r="E371" s="0" t="s">
        <v>228</v>
      </c>
      <c r="F371" s="0" t="n">
        <v>2023</v>
      </c>
      <c r="G371" s="0" t="n">
        <v>737.761203871777</v>
      </c>
    </row>
    <row r="372" customFormat="false" ht="12.8" hidden="false" customHeight="false" outlineLevel="0" collapsed="false">
      <c r="A372" s="0" t="n">
        <v>1112</v>
      </c>
      <c r="B372" s="0" t="s">
        <v>129</v>
      </c>
      <c r="C372" s="0" t="s">
        <v>261</v>
      </c>
      <c r="D372" s="0" t="s">
        <v>227</v>
      </c>
      <c r="E372" s="0" t="s">
        <v>228</v>
      </c>
      <c r="F372" s="0" t="n">
        <v>2023</v>
      </c>
      <c r="G372" s="0" t="n">
        <v>752.260581176159</v>
      </c>
    </row>
    <row r="373" customFormat="false" ht="12.8" hidden="false" customHeight="false" outlineLevel="0" collapsed="false">
      <c r="A373" s="0" t="n">
        <v>1115</v>
      </c>
      <c r="B373" s="0" t="s">
        <v>27</v>
      </c>
      <c r="C373" s="0" t="s">
        <v>261</v>
      </c>
      <c r="D373" s="0" t="s">
        <v>227</v>
      </c>
      <c r="E373" s="0" t="s">
        <v>228</v>
      </c>
      <c r="F373" s="0" t="n">
        <v>2023</v>
      </c>
      <c r="G373" s="0" t="n">
        <v>662.422301627318</v>
      </c>
    </row>
    <row r="374" customFormat="false" ht="12.8" hidden="false" customHeight="false" outlineLevel="0" collapsed="false">
      <c r="A374" s="0" t="n">
        <v>1118</v>
      </c>
      <c r="B374" s="0" t="s">
        <v>259</v>
      </c>
      <c r="C374" s="0" t="s">
        <v>261</v>
      </c>
      <c r="D374" s="0" t="s">
        <v>227</v>
      </c>
      <c r="E374" s="0" t="s">
        <v>228</v>
      </c>
      <c r="F374" s="0" t="n">
        <v>2023</v>
      </c>
      <c r="G374" s="0" t="n">
        <v>1139.67859595373</v>
      </c>
    </row>
    <row r="375" customFormat="false" ht="12.8" hidden="false" customHeight="false" outlineLevel="0" collapsed="false">
      <c r="A375" s="0" t="n">
        <v>1121</v>
      </c>
      <c r="B375" s="0" t="s">
        <v>74</v>
      </c>
      <c r="C375" s="0" t="s">
        <v>261</v>
      </c>
      <c r="D375" s="0" t="s">
        <v>227</v>
      </c>
      <c r="E375" s="0" t="s">
        <v>228</v>
      </c>
      <c r="F375" s="0" t="n">
        <v>2023</v>
      </c>
      <c r="G375" s="0" t="n">
        <v>692.477392798839</v>
      </c>
    </row>
    <row r="376" customFormat="false" ht="12.8" hidden="false" customHeight="false" outlineLevel="0" collapsed="false">
      <c r="A376" s="0" t="n">
        <v>1124</v>
      </c>
      <c r="B376" s="0" t="s">
        <v>30</v>
      </c>
      <c r="C376" s="0" t="s">
        <v>261</v>
      </c>
      <c r="D376" s="0" t="s">
        <v>227</v>
      </c>
      <c r="E376" s="0" t="s">
        <v>228</v>
      </c>
      <c r="F376" s="0" t="n">
        <v>2023</v>
      </c>
      <c r="G376" s="0" t="n">
        <v>692.243687956418</v>
      </c>
    </row>
    <row r="377" customFormat="false" ht="12.8" hidden="false" customHeight="false" outlineLevel="0" collapsed="false">
      <c r="A377" s="0" t="n">
        <v>1127</v>
      </c>
      <c r="B377" s="0" t="s">
        <v>51</v>
      </c>
      <c r="C377" s="0" t="s">
        <v>261</v>
      </c>
      <c r="D377" s="0" t="s">
        <v>227</v>
      </c>
      <c r="E377" s="0" t="s">
        <v>228</v>
      </c>
      <c r="F377" s="0" t="n">
        <v>2023</v>
      </c>
      <c r="G377" s="0" t="n">
        <v>684.169328081086</v>
      </c>
    </row>
    <row r="378" customFormat="false" ht="12.8" hidden="false" customHeight="false" outlineLevel="0" collapsed="false">
      <c r="A378" s="0" t="n">
        <v>1130</v>
      </c>
      <c r="B378" s="0" t="s">
        <v>101</v>
      </c>
      <c r="C378" s="0" t="s">
        <v>261</v>
      </c>
      <c r="D378" s="0" t="s">
        <v>227</v>
      </c>
      <c r="E378" s="0" t="s">
        <v>228</v>
      </c>
      <c r="F378" s="0" t="n">
        <v>2023</v>
      </c>
      <c r="G378" s="0" t="n">
        <v>1025.77142399862</v>
      </c>
    </row>
    <row r="379" customFormat="false" ht="12.8" hidden="false" customHeight="false" outlineLevel="0" collapsed="false">
      <c r="A379" s="0" t="n">
        <v>1133</v>
      </c>
      <c r="B379" s="0" t="s">
        <v>114</v>
      </c>
      <c r="C379" s="0" t="s">
        <v>261</v>
      </c>
      <c r="D379" s="0" t="s">
        <v>227</v>
      </c>
      <c r="E379" s="0" t="s">
        <v>228</v>
      </c>
      <c r="F379" s="0" t="n">
        <v>2023</v>
      </c>
      <c r="G379" s="0" t="n">
        <v>741.375841412802</v>
      </c>
    </row>
    <row r="380" customFormat="false" ht="12.8" hidden="false" customHeight="false" outlineLevel="0" collapsed="false">
      <c r="A380" s="0" t="n">
        <v>1136</v>
      </c>
      <c r="B380" s="0" t="s">
        <v>112</v>
      </c>
      <c r="C380" s="0" t="s">
        <v>261</v>
      </c>
      <c r="D380" s="0" t="s">
        <v>227</v>
      </c>
      <c r="E380" s="0" t="s">
        <v>228</v>
      </c>
      <c r="F380" s="0" t="n">
        <v>2023</v>
      </c>
      <c r="G380" s="0" t="n">
        <v>1590.26241132805</v>
      </c>
    </row>
    <row r="381" customFormat="false" ht="12.8" hidden="false" customHeight="false" outlineLevel="0" collapsed="false">
      <c r="A381" s="0" t="n">
        <v>1139</v>
      </c>
      <c r="B381" s="0" t="s">
        <v>14</v>
      </c>
      <c r="C381" s="0" t="s">
        <v>261</v>
      </c>
      <c r="D381" s="0" t="s">
        <v>227</v>
      </c>
      <c r="E381" s="0" t="s">
        <v>228</v>
      </c>
      <c r="F381" s="0" t="n">
        <v>2023</v>
      </c>
      <c r="G381" s="0" t="n">
        <v>2384.35897676876</v>
      </c>
    </row>
    <row r="382" customFormat="false" ht="12.8" hidden="false" customHeight="false" outlineLevel="0" collapsed="false">
      <c r="A382" s="0" t="n">
        <v>1142</v>
      </c>
      <c r="B382" s="0" t="s">
        <v>116</v>
      </c>
      <c r="C382" s="0" t="s">
        <v>261</v>
      </c>
      <c r="D382" s="0" t="s">
        <v>227</v>
      </c>
      <c r="E382" s="0" t="s">
        <v>228</v>
      </c>
      <c r="F382" s="0" t="n">
        <v>2023</v>
      </c>
      <c r="G382" s="0" t="n">
        <v>1564.13437477827</v>
      </c>
    </row>
    <row r="383" customFormat="false" ht="12.8" hidden="false" customHeight="false" outlineLevel="0" collapsed="false">
      <c r="A383" s="0" t="n">
        <v>1145</v>
      </c>
      <c r="B383" s="0" t="s">
        <v>248</v>
      </c>
      <c r="C383" s="0" t="s">
        <v>261</v>
      </c>
      <c r="D383" s="0" t="s">
        <v>227</v>
      </c>
      <c r="E383" s="0" t="s">
        <v>228</v>
      </c>
      <c r="F383" s="0" t="n">
        <v>2023</v>
      </c>
      <c r="G383" s="0" t="n">
        <v>1209.54003809431</v>
      </c>
    </row>
    <row r="384" customFormat="false" ht="12.8" hidden="false" customHeight="false" outlineLevel="0" collapsed="false">
      <c r="A384" s="0" t="n">
        <v>1148</v>
      </c>
      <c r="B384" s="0" t="s">
        <v>159</v>
      </c>
      <c r="C384" s="0" t="s">
        <v>261</v>
      </c>
      <c r="D384" s="0" t="s">
        <v>227</v>
      </c>
      <c r="E384" s="0" t="s">
        <v>228</v>
      </c>
      <c r="F384" s="0" t="n">
        <v>2023</v>
      </c>
      <c r="G384" s="0" t="n">
        <v>925.540807667208</v>
      </c>
    </row>
    <row r="385" customFormat="false" ht="12.8" hidden="false" customHeight="false" outlineLevel="0" collapsed="false">
      <c r="A385" s="0" t="n">
        <v>1151</v>
      </c>
      <c r="B385" s="0" t="s">
        <v>246</v>
      </c>
      <c r="C385" s="0" t="s">
        <v>261</v>
      </c>
      <c r="D385" s="0" t="s">
        <v>227</v>
      </c>
      <c r="E385" s="0" t="s">
        <v>228</v>
      </c>
      <c r="F385" s="0" t="n">
        <v>2023</v>
      </c>
      <c r="G385" s="0" t="n">
        <v>1517.63667964438</v>
      </c>
    </row>
    <row r="386" customFormat="false" ht="12.8" hidden="false" customHeight="false" outlineLevel="0" collapsed="false">
      <c r="A386" s="0" t="n">
        <v>1154</v>
      </c>
      <c r="B386" s="0" t="s">
        <v>249</v>
      </c>
      <c r="C386" s="0" t="s">
        <v>261</v>
      </c>
      <c r="D386" s="0" t="s">
        <v>227</v>
      </c>
      <c r="E386" s="0" t="s">
        <v>228</v>
      </c>
      <c r="F386" s="0" t="n">
        <v>2023</v>
      </c>
      <c r="G386" s="0" t="n">
        <v>1493.27086293846</v>
      </c>
    </row>
    <row r="387" customFormat="false" ht="12.8" hidden="false" customHeight="false" outlineLevel="0" collapsed="false">
      <c r="A387" s="0" t="n">
        <v>1157</v>
      </c>
      <c r="B387" s="0" t="s">
        <v>67</v>
      </c>
      <c r="C387" s="0" t="s">
        <v>261</v>
      </c>
      <c r="D387" s="0" t="s">
        <v>227</v>
      </c>
      <c r="E387" s="0" t="s">
        <v>228</v>
      </c>
      <c r="F387" s="0" t="n">
        <v>2023</v>
      </c>
      <c r="G387" s="0" t="n">
        <v>1002.86145483704</v>
      </c>
    </row>
    <row r="388" customFormat="false" ht="12.8" hidden="false" customHeight="false" outlineLevel="0" collapsed="false">
      <c r="A388" s="0" t="n">
        <v>1160</v>
      </c>
      <c r="B388" s="0" t="s">
        <v>48</v>
      </c>
      <c r="C388" s="0" t="s">
        <v>261</v>
      </c>
      <c r="D388" s="0" t="s">
        <v>227</v>
      </c>
      <c r="E388" s="0" t="s">
        <v>228</v>
      </c>
      <c r="F388" s="0" t="n">
        <v>2023</v>
      </c>
      <c r="G388" s="0" t="n">
        <v>660.975755584625</v>
      </c>
    </row>
    <row r="389" customFormat="false" ht="12.8" hidden="false" customHeight="false" outlineLevel="0" collapsed="false">
      <c r="A389" s="0" t="n">
        <v>1163</v>
      </c>
      <c r="B389" s="0" t="s">
        <v>41</v>
      </c>
      <c r="C389" s="0" t="s">
        <v>261</v>
      </c>
      <c r="D389" s="0" t="s">
        <v>227</v>
      </c>
      <c r="E389" s="0" t="s">
        <v>228</v>
      </c>
      <c r="F389" s="0" t="n">
        <v>2023</v>
      </c>
      <c r="G389" s="0" t="n">
        <v>1754.72540147456</v>
      </c>
    </row>
    <row r="390" customFormat="false" ht="12.8" hidden="false" customHeight="false" outlineLevel="0" collapsed="false">
      <c r="A390" s="0" t="n">
        <v>1166</v>
      </c>
      <c r="B390" s="0" t="s">
        <v>34</v>
      </c>
      <c r="C390" s="0" t="s">
        <v>261</v>
      </c>
      <c r="D390" s="0" t="s">
        <v>227</v>
      </c>
      <c r="E390" s="0" t="s">
        <v>228</v>
      </c>
      <c r="F390" s="0" t="n">
        <v>2023</v>
      </c>
      <c r="G390" s="0" t="n">
        <v>1002.51768709786</v>
      </c>
    </row>
    <row r="391" customFormat="false" ht="12.8" hidden="false" customHeight="false" outlineLevel="0" collapsed="false">
      <c r="A391" s="0" t="n">
        <v>1169</v>
      </c>
      <c r="B391" s="0" t="s">
        <v>125</v>
      </c>
      <c r="C391" s="0" t="s">
        <v>261</v>
      </c>
      <c r="D391" s="0" t="s">
        <v>227</v>
      </c>
      <c r="E391" s="0" t="s">
        <v>228</v>
      </c>
      <c r="F391" s="0" t="n">
        <v>2023</v>
      </c>
      <c r="G391" s="0" t="n">
        <v>896.974067732472</v>
      </c>
    </row>
    <row r="392" customFormat="false" ht="12.8" hidden="false" customHeight="false" outlineLevel="0" collapsed="false">
      <c r="A392" s="0" t="n">
        <v>1172</v>
      </c>
      <c r="B392" s="0" t="s">
        <v>162</v>
      </c>
      <c r="C392" s="0" t="s">
        <v>261</v>
      </c>
      <c r="D392" s="0" t="s">
        <v>227</v>
      </c>
      <c r="E392" s="0" t="s">
        <v>228</v>
      </c>
      <c r="F392" s="0" t="n">
        <v>2023</v>
      </c>
      <c r="G392" s="0" t="n">
        <v>534.854560553814</v>
      </c>
    </row>
    <row r="393" customFormat="false" ht="12.8" hidden="false" customHeight="false" outlineLevel="0" collapsed="false">
      <c r="A393" s="0" t="n">
        <v>1175</v>
      </c>
      <c r="B393" s="0" t="s">
        <v>95</v>
      </c>
      <c r="C393" s="0" t="s">
        <v>261</v>
      </c>
      <c r="D393" s="0" t="s">
        <v>227</v>
      </c>
      <c r="E393" s="0" t="s">
        <v>228</v>
      </c>
      <c r="F393" s="0" t="n">
        <v>2023</v>
      </c>
      <c r="G393" s="0" t="n">
        <v>564.117846577115</v>
      </c>
    </row>
    <row r="394" customFormat="false" ht="12.8" hidden="false" customHeight="false" outlineLevel="0" collapsed="false">
      <c r="A394" s="0" t="n">
        <v>1178</v>
      </c>
      <c r="B394" s="0" t="s">
        <v>47</v>
      </c>
      <c r="C394" s="0" t="s">
        <v>261</v>
      </c>
      <c r="D394" s="0" t="s">
        <v>227</v>
      </c>
      <c r="E394" s="0" t="s">
        <v>228</v>
      </c>
      <c r="F394" s="0" t="n">
        <v>2023</v>
      </c>
      <c r="G394" s="0" t="n">
        <v>794.334694428504</v>
      </c>
    </row>
    <row r="395" customFormat="false" ht="12.8" hidden="false" customHeight="false" outlineLevel="0" collapsed="false">
      <c r="A395" s="0" t="n">
        <v>1181</v>
      </c>
      <c r="B395" s="0" t="s">
        <v>147</v>
      </c>
      <c r="C395" s="0" t="s">
        <v>261</v>
      </c>
      <c r="D395" s="0" t="s">
        <v>227</v>
      </c>
      <c r="E395" s="0" t="s">
        <v>228</v>
      </c>
      <c r="F395" s="0" t="n">
        <v>2023</v>
      </c>
      <c r="G395" s="0" t="n">
        <v>669.678893628495</v>
      </c>
    </row>
    <row r="396" customFormat="false" ht="12.8" hidden="false" customHeight="false" outlineLevel="0" collapsed="false">
      <c r="A396" s="0" t="n">
        <v>1184</v>
      </c>
      <c r="B396" s="0" t="s">
        <v>256</v>
      </c>
      <c r="C396" s="0" t="s">
        <v>261</v>
      </c>
      <c r="D396" s="0" t="s">
        <v>227</v>
      </c>
      <c r="E396" s="0" t="s">
        <v>228</v>
      </c>
      <c r="F396" s="0" t="n">
        <v>2023</v>
      </c>
      <c r="G396" s="0" t="n">
        <v>975.522526967275</v>
      </c>
    </row>
    <row r="397" customFormat="false" ht="12.8" hidden="false" customHeight="false" outlineLevel="0" collapsed="false">
      <c r="A397" s="0" t="n">
        <v>1187</v>
      </c>
      <c r="B397" s="0" t="s">
        <v>158</v>
      </c>
      <c r="C397" s="0" t="s">
        <v>261</v>
      </c>
      <c r="D397" s="0" t="s">
        <v>227</v>
      </c>
      <c r="E397" s="0" t="s">
        <v>228</v>
      </c>
      <c r="F397" s="0" t="n">
        <v>2023</v>
      </c>
      <c r="G397" s="0" t="n">
        <v>702.387502858148</v>
      </c>
    </row>
    <row r="398" customFormat="false" ht="12.8" hidden="false" customHeight="false" outlineLevel="0" collapsed="false">
      <c r="A398" s="0" t="n">
        <v>1190</v>
      </c>
      <c r="B398" s="0" t="s">
        <v>44</v>
      </c>
      <c r="C398" s="0" t="s">
        <v>261</v>
      </c>
      <c r="D398" s="0" t="s">
        <v>227</v>
      </c>
      <c r="E398" s="0" t="s">
        <v>228</v>
      </c>
      <c r="F398" s="0" t="n">
        <v>2023</v>
      </c>
      <c r="G398" s="0" t="n">
        <v>603.302117330169</v>
      </c>
    </row>
    <row r="399" customFormat="false" ht="12.8" hidden="false" customHeight="false" outlineLevel="0" collapsed="false">
      <c r="A399" s="0" t="n">
        <v>1193</v>
      </c>
      <c r="B399" s="0" t="s">
        <v>138</v>
      </c>
      <c r="C399" s="0" t="s">
        <v>261</v>
      </c>
      <c r="D399" s="0" t="s">
        <v>227</v>
      </c>
      <c r="E399" s="0" t="s">
        <v>228</v>
      </c>
      <c r="F399" s="0" t="n">
        <v>2023</v>
      </c>
      <c r="G399" s="0" t="n">
        <v>1252.48439198372</v>
      </c>
    </row>
    <row r="400" customFormat="false" ht="12.8" hidden="false" customHeight="false" outlineLevel="0" collapsed="false">
      <c r="A400" s="0" t="n">
        <v>1196</v>
      </c>
      <c r="B400" s="0" t="s">
        <v>233</v>
      </c>
      <c r="C400" s="0" t="s">
        <v>261</v>
      </c>
      <c r="D400" s="0" t="s">
        <v>227</v>
      </c>
      <c r="E400" s="0" t="s">
        <v>228</v>
      </c>
      <c r="F400" s="0" t="n">
        <v>2023</v>
      </c>
      <c r="G400" s="0" t="n">
        <v>811.448109521659</v>
      </c>
    </row>
    <row r="401" customFormat="false" ht="12.8" hidden="false" customHeight="false" outlineLevel="0" collapsed="false">
      <c r="A401" s="0" t="n">
        <v>1199</v>
      </c>
      <c r="B401" s="0" t="s">
        <v>24</v>
      </c>
      <c r="C401" s="0" t="s">
        <v>261</v>
      </c>
      <c r="D401" s="0" t="s">
        <v>227</v>
      </c>
      <c r="E401" s="0" t="s">
        <v>228</v>
      </c>
      <c r="F401" s="0" t="n">
        <v>2023</v>
      </c>
      <c r="G401" s="0" t="n">
        <v>1158.24540210047</v>
      </c>
    </row>
    <row r="402" customFormat="false" ht="12.8" hidden="false" customHeight="false" outlineLevel="0" collapsed="false">
      <c r="A402" s="0" t="n">
        <v>1202</v>
      </c>
      <c r="B402" s="0" t="s">
        <v>106</v>
      </c>
      <c r="C402" s="0" t="s">
        <v>261</v>
      </c>
      <c r="D402" s="0" t="s">
        <v>227</v>
      </c>
      <c r="E402" s="0" t="s">
        <v>228</v>
      </c>
      <c r="F402" s="0" t="n">
        <v>2023</v>
      </c>
      <c r="G402" s="0" t="n">
        <v>710.303468251885</v>
      </c>
    </row>
    <row r="403" customFormat="false" ht="12.8" hidden="false" customHeight="false" outlineLevel="0" collapsed="false">
      <c r="A403" s="0" t="n">
        <v>1205</v>
      </c>
      <c r="B403" s="0" t="s">
        <v>39</v>
      </c>
      <c r="C403" s="0" t="s">
        <v>261</v>
      </c>
      <c r="D403" s="0" t="s">
        <v>227</v>
      </c>
      <c r="E403" s="0" t="s">
        <v>228</v>
      </c>
      <c r="F403" s="0" t="n">
        <v>2023</v>
      </c>
      <c r="G403" s="0" t="n">
        <v>1123.81181329561</v>
      </c>
    </row>
    <row r="404" customFormat="false" ht="12.8" hidden="false" customHeight="false" outlineLevel="0" collapsed="false">
      <c r="A404" s="0" t="n">
        <v>1208</v>
      </c>
      <c r="B404" s="0" t="s">
        <v>89</v>
      </c>
      <c r="C404" s="0" t="s">
        <v>261</v>
      </c>
      <c r="D404" s="0" t="s">
        <v>227</v>
      </c>
      <c r="E404" s="0" t="s">
        <v>228</v>
      </c>
      <c r="F404" s="0" t="n">
        <v>2023</v>
      </c>
      <c r="G404" s="0" t="n">
        <v>1504.76118524551</v>
      </c>
    </row>
    <row r="405" customFormat="false" ht="12.8" hidden="false" customHeight="false" outlineLevel="0" collapsed="false">
      <c r="A405" s="0" t="n">
        <v>1211</v>
      </c>
      <c r="B405" s="0" t="s">
        <v>61</v>
      </c>
      <c r="C405" s="0" t="s">
        <v>261</v>
      </c>
      <c r="D405" s="0" t="s">
        <v>227</v>
      </c>
      <c r="E405" s="0" t="s">
        <v>228</v>
      </c>
      <c r="F405" s="0" t="n">
        <v>2023</v>
      </c>
      <c r="G405" s="0" t="n">
        <v>582.532368912846</v>
      </c>
    </row>
    <row r="406" customFormat="false" ht="12.8" hidden="false" customHeight="false" outlineLevel="0" collapsed="false">
      <c r="A406" s="0" t="n">
        <v>1214</v>
      </c>
      <c r="B406" s="0" t="s">
        <v>55</v>
      </c>
      <c r="C406" s="0" t="s">
        <v>261</v>
      </c>
      <c r="D406" s="0" t="s">
        <v>227</v>
      </c>
      <c r="E406" s="0" t="s">
        <v>228</v>
      </c>
      <c r="F406" s="0" t="n">
        <v>2023</v>
      </c>
      <c r="G406" s="0" t="n">
        <v>1237.69083236849</v>
      </c>
    </row>
    <row r="407" customFormat="false" ht="12.8" hidden="false" customHeight="false" outlineLevel="0" collapsed="false">
      <c r="A407" s="0" t="n">
        <v>1217</v>
      </c>
      <c r="B407" s="0" t="s">
        <v>143</v>
      </c>
      <c r="C407" s="0" t="s">
        <v>261</v>
      </c>
      <c r="D407" s="0" t="s">
        <v>227</v>
      </c>
      <c r="E407" s="0" t="s">
        <v>228</v>
      </c>
      <c r="F407" s="0" t="n">
        <v>2023</v>
      </c>
      <c r="G407" s="0" t="n">
        <v>1107.66650815783</v>
      </c>
    </row>
    <row r="408" customFormat="false" ht="12.8" hidden="false" customHeight="false" outlineLevel="0" collapsed="false">
      <c r="A408" s="0" t="n">
        <v>1220</v>
      </c>
      <c r="B408" s="0" t="s">
        <v>146</v>
      </c>
      <c r="C408" s="0" t="s">
        <v>261</v>
      </c>
      <c r="D408" s="0" t="s">
        <v>227</v>
      </c>
      <c r="E408" s="0" t="s">
        <v>228</v>
      </c>
      <c r="F408" s="0" t="n">
        <v>2023</v>
      </c>
      <c r="G408" s="0" t="n">
        <v>1176.90648159316</v>
      </c>
    </row>
    <row r="409" customFormat="false" ht="12.8" hidden="false" customHeight="false" outlineLevel="0" collapsed="false">
      <c r="A409" s="0" t="n">
        <v>1223</v>
      </c>
      <c r="B409" s="0" t="s">
        <v>65</v>
      </c>
      <c r="C409" s="0" t="s">
        <v>261</v>
      </c>
      <c r="D409" s="0" t="s">
        <v>227</v>
      </c>
      <c r="E409" s="0" t="s">
        <v>228</v>
      </c>
      <c r="F409" s="0" t="n">
        <v>2023</v>
      </c>
      <c r="G409" s="0" t="n">
        <v>729.034048973098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.38"/>
    <col collapsed="false" customWidth="true" hidden="false" outlineLevel="0" max="2" min="2" style="0" width="31.27"/>
    <col collapsed="false" customWidth="true" hidden="false" outlineLevel="0" max="3" min="3" style="0" width="11.77"/>
    <col collapsed="false" customWidth="true" hidden="false" outlineLevel="0" max="4" min="4" style="0" width="8.95"/>
    <col collapsed="false" customWidth="true" hidden="false" outlineLevel="0" max="5" min="5" style="0" width="28.98"/>
  </cols>
  <sheetData>
    <row r="1" customFormat="false" ht="12.8" hidden="false" customHeight="false" outlineLevel="0" collapsed="false">
      <c r="B1" s="0" t="s">
        <v>262</v>
      </c>
      <c r="C1" s="0" t="s">
        <v>263</v>
      </c>
      <c r="D1" s="0" t="s">
        <v>264</v>
      </c>
      <c r="E1" s="0" t="s">
        <v>265</v>
      </c>
    </row>
    <row r="2" customFormat="false" ht="12.8" hidden="false" customHeight="false" outlineLevel="0" collapsed="false">
      <c r="A2" s="0" t="n">
        <v>0</v>
      </c>
      <c r="B2" s="0" t="s">
        <v>2</v>
      </c>
      <c r="C2" s="0" t="s">
        <v>266</v>
      </c>
      <c r="D2" s="0" t="n">
        <v>40</v>
      </c>
      <c r="E2" s="0" t="n">
        <v>52.53</v>
      </c>
    </row>
    <row r="3" customFormat="false" ht="12.8" hidden="false" customHeight="false" outlineLevel="0" collapsed="false">
      <c r="A3" s="0" t="n">
        <v>1</v>
      </c>
      <c r="B3" s="0" t="s">
        <v>3</v>
      </c>
      <c r="C3" s="0" t="s">
        <v>267</v>
      </c>
      <c r="D3" s="0" t="n">
        <v>40</v>
      </c>
      <c r="E3" s="0" t="n">
        <v>109.75</v>
      </c>
    </row>
    <row r="4" customFormat="false" ht="12.8" hidden="false" customHeight="false" outlineLevel="0" collapsed="false">
      <c r="A4" s="0" t="n">
        <v>2</v>
      </c>
      <c r="B4" s="0" t="s">
        <v>4</v>
      </c>
      <c r="C4" s="0" t="s">
        <v>268</v>
      </c>
      <c r="D4" s="0" t="n">
        <v>40</v>
      </c>
      <c r="E4" s="0" t="n">
        <v>96.31</v>
      </c>
    </row>
    <row r="5" customFormat="false" ht="12.8" hidden="false" customHeight="false" outlineLevel="0" collapsed="false">
      <c r="A5" s="0" t="n">
        <v>3</v>
      </c>
      <c r="B5" s="0" t="s">
        <v>6</v>
      </c>
      <c r="C5" s="0" t="s">
        <v>269</v>
      </c>
      <c r="D5" s="0" t="n">
        <v>40</v>
      </c>
      <c r="E5" s="0" t="n">
        <v>73.06</v>
      </c>
    </row>
    <row r="6" customFormat="false" ht="12.8" hidden="false" customHeight="false" outlineLevel="0" collapsed="false">
      <c r="A6" s="0" t="n">
        <v>4</v>
      </c>
      <c r="B6" s="0" t="s">
        <v>12</v>
      </c>
      <c r="C6" s="0" t="s">
        <v>270</v>
      </c>
      <c r="D6" s="0" t="n">
        <v>40</v>
      </c>
      <c r="E6" s="0" t="n">
        <v>99.93</v>
      </c>
    </row>
    <row r="7" customFormat="false" ht="12.8" hidden="false" customHeight="false" outlineLevel="0" collapsed="false">
      <c r="A7" s="0" t="n">
        <v>5</v>
      </c>
      <c r="B7" s="0" t="s">
        <v>7</v>
      </c>
      <c r="C7" s="0" t="s">
        <v>271</v>
      </c>
      <c r="D7" s="0" t="n">
        <v>40</v>
      </c>
      <c r="E7" s="0" t="n">
        <v>161.79</v>
      </c>
    </row>
    <row r="8" customFormat="false" ht="12.8" hidden="false" customHeight="false" outlineLevel="0" collapsed="false">
      <c r="A8" s="0" t="n">
        <v>6</v>
      </c>
      <c r="B8" s="0" t="s">
        <v>10</v>
      </c>
      <c r="C8" s="0" t="s">
        <v>272</v>
      </c>
      <c r="D8" s="0" t="n">
        <v>40</v>
      </c>
      <c r="E8" s="0" t="n">
        <v>281.33</v>
      </c>
    </row>
    <row r="9" customFormat="false" ht="12.8" hidden="false" customHeight="false" outlineLevel="0" collapsed="false">
      <c r="A9" s="0" t="n">
        <v>7</v>
      </c>
      <c r="B9" s="0" t="s">
        <v>11</v>
      </c>
      <c r="C9" s="0" t="s">
        <v>273</v>
      </c>
      <c r="D9" s="0" t="n">
        <v>40</v>
      </c>
      <c r="E9" s="0" t="n">
        <v>201.37</v>
      </c>
    </row>
    <row r="10" customFormat="false" ht="12.8" hidden="false" customHeight="false" outlineLevel="0" collapsed="false">
      <c r="A10" s="0" t="n">
        <v>8</v>
      </c>
      <c r="B10" s="0" t="s">
        <v>236</v>
      </c>
      <c r="C10" s="0" t="s">
        <v>274</v>
      </c>
      <c r="D10" s="0" t="n">
        <v>40</v>
      </c>
      <c r="E10" s="0" t="n">
        <v>151.41</v>
      </c>
    </row>
    <row r="11" customFormat="false" ht="12.8" hidden="false" customHeight="false" outlineLevel="0" collapsed="false">
      <c r="A11" s="0" t="n">
        <v>9</v>
      </c>
      <c r="B11" s="0" t="s">
        <v>13</v>
      </c>
      <c r="C11" s="0" t="s">
        <v>275</v>
      </c>
      <c r="D11" s="0" t="n">
        <v>40</v>
      </c>
      <c r="E11" s="0" t="n">
        <v>89.67</v>
      </c>
    </row>
    <row r="12" customFormat="false" ht="12.8" hidden="false" customHeight="false" outlineLevel="0" collapsed="false">
      <c r="A12" s="0" t="n">
        <v>10</v>
      </c>
      <c r="B12" s="0" t="s">
        <v>14</v>
      </c>
      <c r="C12" s="0" t="s">
        <v>276</v>
      </c>
      <c r="D12" s="0" t="n">
        <v>40</v>
      </c>
      <c r="E12" s="0" t="n">
        <v>61.12</v>
      </c>
    </row>
    <row r="13" customFormat="false" ht="12.8" hidden="false" customHeight="false" outlineLevel="0" collapsed="false">
      <c r="A13" s="0" t="n">
        <v>11</v>
      </c>
      <c r="B13" s="0" t="s">
        <v>8</v>
      </c>
      <c r="C13" s="0" t="s">
        <v>277</v>
      </c>
      <c r="D13" s="0" t="n">
        <v>40</v>
      </c>
      <c r="E13" s="0" t="n">
        <v>134.07</v>
      </c>
    </row>
    <row r="14" customFormat="false" ht="12.8" hidden="false" customHeight="false" outlineLevel="0" collapsed="false">
      <c r="A14" s="0" t="n">
        <v>12</v>
      </c>
      <c r="B14" s="0" t="s">
        <v>15</v>
      </c>
      <c r="C14" s="0" t="s">
        <v>278</v>
      </c>
      <c r="D14" s="0" t="n">
        <v>40</v>
      </c>
      <c r="E14" s="0" t="n">
        <v>161.78</v>
      </c>
    </row>
    <row r="15" customFormat="false" ht="12.8" hidden="false" customHeight="false" outlineLevel="0" collapsed="false">
      <c r="A15" s="0" t="n">
        <v>13</v>
      </c>
      <c r="B15" s="0" t="s">
        <v>17</v>
      </c>
      <c r="C15" s="0" t="s">
        <v>279</v>
      </c>
      <c r="D15" s="0" t="n">
        <v>40</v>
      </c>
      <c r="E15" s="0" t="n">
        <v>258.42</v>
      </c>
    </row>
    <row r="16" customFormat="false" ht="12.8" hidden="false" customHeight="false" outlineLevel="0" collapsed="false">
      <c r="A16" s="0" t="n">
        <v>14</v>
      </c>
      <c r="B16" s="0" t="s">
        <v>20</v>
      </c>
      <c r="C16" s="0" t="s">
        <v>280</v>
      </c>
      <c r="D16" s="0" t="n">
        <v>40</v>
      </c>
      <c r="E16" s="0" t="n">
        <v>58.87</v>
      </c>
    </row>
    <row r="17" customFormat="false" ht="12.8" hidden="false" customHeight="false" outlineLevel="0" collapsed="false">
      <c r="A17" s="0" t="n">
        <v>15</v>
      </c>
      <c r="B17" s="0" t="s">
        <v>21</v>
      </c>
      <c r="C17" s="0" t="s">
        <v>281</v>
      </c>
      <c r="D17" s="0" t="n">
        <v>40</v>
      </c>
      <c r="E17" s="0" t="n">
        <v>91.16</v>
      </c>
    </row>
    <row r="18" customFormat="false" ht="12.8" hidden="false" customHeight="false" outlineLevel="0" collapsed="false">
      <c r="A18" s="0" t="n">
        <v>16</v>
      </c>
      <c r="B18" s="0" t="s">
        <v>282</v>
      </c>
      <c r="C18" s="0" t="s">
        <v>283</v>
      </c>
      <c r="D18" s="0" t="n">
        <v>40</v>
      </c>
      <c r="E18" s="0" t="n">
        <v>148.7</v>
      </c>
    </row>
    <row r="19" customFormat="false" ht="12.8" hidden="false" customHeight="false" outlineLevel="0" collapsed="false">
      <c r="A19" s="0" t="n">
        <v>17</v>
      </c>
      <c r="B19" s="0" t="s">
        <v>23</v>
      </c>
      <c r="C19" s="0" t="s">
        <v>284</v>
      </c>
      <c r="D19" s="0" t="n">
        <v>40</v>
      </c>
      <c r="E19" s="0" t="n">
        <v>80.32</v>
      </c>
    </row>
    <row r="20" customFormat="false" ht="12.8" hidden="false" customHeight="false" outlineLevel="0" collapsed="false">
      <c r="A20" s="0" t="n">
        <v>18</v>
      </c>
      <c r="B20" s="0" t="s">
        <v>24</v>
      </c>
      <c r="C20" s="0" t="s">
        <v>285</v>
      </c>
      <c r="D20" s="0" t="n">
        <v>40</v>
      </c>
      <c r="E20" s="0" t="n">
        <v>142.2</v>
      </c>
    </row>
    <row r="21" customFormat="false" ht="12.8" hidden="false" customHeight="false" outlineLevel="0" collapsed="false">
      <c r="A21" s="0" t="n">
        <v>19</v>
      </c>
      <c r="B21" s="0" t="s">
        <v>18</v>
      </c>
      <c r="C21" s="0" t="s">
        <v>286</v>
      </c>
      <c r="D21" s="0" t="n">
        <v>40</v>
      </c>
      <c r="E21" s="0" t="n">
        <v>76.51</v>
      </c>
    </row>
    <row r="22" customFormat="false" ht="12.8" hidden="false" customHeight="false" outlineLevel="0" collapsed="false">
      <c r="A22" s="0" t="n">
        <v>20</v>
      </c>
      <c r="B22" s="0" t="s">
        <v>144</v>
      </c>
      <c r="C22" s="0" t="s">
        <v>287</v>
      </c>
      <c r="D22" s="0" t="n">
        <v>40</v>
      </c>
      <c r="E22" s="0" t="n">
        <v>83.63</v>
      </c>
    </row>
    <row r="23" customFormat="false" ht="12.8" hidden="false" customHeight="false" outlineLevel="0" collapsed="false">
      <c r="A23" s="0" t="n">
        <v>21</v>
      </c>
      <c r="B23" s="0" t="s">
        <v>233</v>
      </c>
      <c r="C23" s="0" t="s">
        <v>288</v>
      </c>
      <c r="D23" s="0" t="n">
        <v>40</v>
      </c>
      <c r="E23" s="0" t="n">
        <v>148.44</v>
      </c>
    </row>
    <row r="24" customFormat="false" ht="12.8" hidden="false" customHeight="false" outlineLevel="0" collapsed="false">
      <c r="A24" s="0" t="n">
        <v>22</v>
      </c>
      <c r="B24" s="0" t="s">
        <v>25</v>
      </c>
      <c r="C24" s="0" t="s">
        <v>289</v>
      </c>
      <c r="D24" s="0" t="n">
        <v>40</v>
      </c>
      <c r="E24" s="0" t="n">
        <v>159.71</v>
      </c>
    </row>
    <row r="25" customFormat="false" ht="12.8" hidden="false" customHeight="false" outlineLevel="0" collapsed="false">
      <c r="A25" s="0" t="n">
        <v>23</v>
      </c>
      <c r="B25" s="0" t="s">
        <v>108</v>
      </c>
      <c r="C25" s="0" t="s">
        <v>290</v>
      </c>
      <c r="D25" s="0" t="n">
        <v>40</v>
      </c>
      <c r="E25" s="0" t="n">
        <v>73.38</v>
      </c>
    </row>
    <row r="26" customFormat="false" ht="12.8" hidden="false" customHeight="false" outlineLevel="0" collapsed="false">
      <c r="A26" s="0" t="n">
        <v>24</v>
      </c>
      <c r="B26" s="0" t="s">
        <v>27</v>
      </c>
      <c r="C26" s="0" t="s">
        <v>291</v>
      </c>
      <c r="D26" s="0" t="n">
        <v>40</v>
      </c>
      <c r="E26" s="0" t="n">
        <v>55.44</v>
      </c>
    </row>
    <row r="27" customFormat="false" ht="12.8" hidden="false" customHeight="false" outlineLevel="0" collapsed="false">
      <c r="A27" s="0" t="n">
        <v>25</v>
      </c>
      <c r="B27" s="0" t="s">
        <v>16</v>
      </c>
      <c r="C27" s="0" t="s">
        <v>292</v>
      </c>
      <c r="D27" s="0" t="n">
        <v>40</v>
      </c>
      <c r="E27" s="0" t="n">
        <v>202.41</v>
      </c>
    </row>
    <row r="28" customFormat="false" ht="12.8" hidden="false" customHeight="false" outlineLevel="0" collapsed="false">
      <c r="A28" s="0" t="n">
        <v>26</v>
      </c>
      <c r="B28" s="0" t="s">
        <v>29</v>
      </c>
      <c r="C28" s="0" t="s">
        <v>293</v>
      </c>
      <c r="D28" s="0" t="n">
        <v>40</v>
      </c>
      <c r="E28" s="0" t="n">
        <v>76.03</v>
      </c>
    </row>
    <row r="29" customFormat="false" ht="12.8" hidden="false" customHeight="false" outlineLevel="0" collapsed="false">
      <c r="A29" s="0" t="n">
        <v>27</v>
      </c>
      <c r="B29" s="0" t="s">
        <v>30</v>
      </c>
      <c r="C29" s="0" t="s">
        <v>294</v>
      </c>
      <c r="D29" s="0" t="n">
        <v>40</v>
      </c>
      <c r="E29" s="0" t="n">
        <v>67.98</v>
      </c>
    </row>
    <row r="30" customFormat="false" ht="12.8" hidden="false" customHeight="false" outlineLevel="0" collapsed="false">
      <c r="A30" s="0" t="n">
        <v>28</v>
      </c>
      <c r="B30" s="0" t="s">
        <v>31</v>
      </c>
      <c r="C30" s="0" t="s">
        <v>295</v>
      </c>
      <c r="D30" s="0" t="n">
        <v>40</v>
      </c>
      <c r="E30" s="0" t="n">
        <v>248.79</v>
      </c>
    </row>
    <row r="31" customFormat="false" ht="12.8" hidden="false" customHeight="false" outlineLevel="0" collapsed="false">
      <c r="A31" s="0" t="n">
        <v>29</v>
      </c>
      <c r="B31" s="0" t="s">
        <v>296</v>
      </c>
      <c r="C31" s="0" t="s">
        <v>297</v>
      </c>
      <c r="D31" s="0" t="n">
        <v>40</v>
      </c>
      <c r="E31" s="0" t="n">
        <v>56.61</v>
      </c>
    </row>
    <row r="32" customFormat="false" ht="12.8" hidden="false" customHeight="false" outlineLevel="0" collapsed="false">
      <c r="A32" s="0" t="n">
        <v>30</v>
      </c>
      <c r="B32" s="0" t="s">
        <v>32</v>
      </c>
      <c r="C32" s="0" t="s">
        <v>298</v>
      </c>
      <c r="D32" s="0" t="n">
        <v>40</v>
      </c>
      <c r="E32" s="0" t="n">
        <v>38.57</v>
      </c>
    </row>
    <row r="33" customFormat="false" ht="12.8" hidden="false" customHeight="false" outlineLevel="0" collapsed="false">
      <c r="A33" s="0" t="n">
        <v>31</v>
      </c>
      <c r="B33" s="0" t="s">
        <v>149</v>
      </c>
      <c r="C33" s="0" t="s">
        <v>299</v>
      </c>
      <c r="D33" s="0" t="n">
        <v>40</v>
      </c>
      <c r="E33" s="0" t="n">
        <v>74.09</v>
      </c>
    </row>
    <row r="34" customFormat="false" ht="12.8" hidden="false" customHeight="false" outlineLevel="0" collapsed="false">
      <c r="A34" s="0" t="n">
        <v>32</v>
      </c>
      <c r="B34" s="0" t="s">
        <v>33</v>
      </c>
      <c r="C34" s="0" t="s">
        <v>300</v>
      </c>
      <c r="D34" s="0" t="n">
        <v>40</v>
      </c>
      <c r="E34" s="0" t="n">
        <v>50.56</v>
      </c>
    </row>
    <row r="35" customFormat="false" ht="12.8" hidden="false" customHeight="false" outlineLevel="0" collapsed="false">
      <c r="A35" s="0" t="n">
        <v>33</v>
      </c>
      <c r="B35" s="0" t="s">
        <v>34</v>
      </c>
      <c r="C35" s="0" t="s">
        <v>301</v>
      </c>
      <c r="D35" s="0" t="n">
        <v>40</v>
      </c>
      <c r="E35" s="0" t="n">
        <v>137.6</v>
      </c>
    </row>
    <row r="36" customFormat="false" ht="12.8" hidden="false" customHeight="false" outlineLevel="0" collapsed="false">
      <c r="A36" s="0" t="n">
        <v>34</v>
      </c>
      <c r="B36" s="0" t="s">
        <v>35</v>
      </c>
      <c r="C36" s="0" t="s">
        <v>302</v>
      </c>
      <c r="D36" s="0" t="n">
        <v>40</v>
      </c>
      <c r="E36" s="0" t="n">
        <v>132.24</v>
      </c>
    </row>
    <row r="37" customFormat="false" ht="12.8" hidden="false" customHeight="false" outlineLevel="0" collapsed="false">
      <c r="A37" s="0" t="n">
        <v>35</v>
      </c>
      <c r="B37" s="0" t="s">
        <v>36</v>
      </c>
      <c r="C37" s="0" t="s">
        <v>303</v>
      </c>
      <c r="D37" s="0" t="n">
        <v>40</v>
      </c>
      <c r="E37" s="0" t="n">
        <v>120.9</v>
      </c>
    </row>
    <row r="38" customFormat="false" ht="12.8" hidden="false" customHeight="false" outlineLevel="0" collapsed="false">
      <c r="A38" s="0" t="n">
        <v>36</v>
      </c>
      <c r="B38" s="0" t="s">
        <v>37</v>
      </c>
      <c r="C38" s="0" t="s">
        <v>304</v>
      </c>
      <c r="D38" s="0" t="n">
        <v>40</v>
      </c>
      <c r="E38" s="0" t="n">
        <v>65.2</v>
      </c>
    </row>
    <row r="39" customFormat="false" ht="12.8" hidden="false" customHeight="false" outlineLevel="0" collapsed="false">
      <c r="A39" s="0" t="n">
        <v>37</v>
      </c>
      <c r="B39" s="0" t="s">
        <v>305</v>
      </c>
      <c r="C39" s="0" t="s">
        <v>306</v>
      </c>
      <c r="D39" s="0" t="n">
        <v>40</v>
      </c>
      <c r="E39" s="0" t="n">
        <v>46.08</v>
      </c>
    </row>
    <row r="40" customFormat="false" ht="12.8" hidden="false" customHeight="false" outlineLevel="0" collapsed="false">
      <c r="A40" s="0" t="n">
        <v>38</v>
      </c>
      <c r="B40" s="0" t="s">
        <v>307</v>
      </c>
      <c r="C40" s="0" t="s">
        <v>308</v>
      </c>
      <c r="D40" s="0" t="n">
        <v>40</v>
      </c>
      <c r="E40" s="0" t="n">
        <v>48.03</v>
      </c>
    </row>
    <row r="41" customFormat="false" ht="12.8" hidden="false" customHeight="false" outlineLevel="0" collapsed="false">
      <c r="A41" s="0" t="n">
        <v>39</v>
      </c>
      <c r="B41" s="0" t="s">
        <v>39</v>
      </c>
      <c r="C41" s="0" t="s">
        <v>309</v>
      </c>
      <c r="D41" s="0" t="n">
        <v>40</v>
      </c>
      <c r="E41" s="0" t="n">
        <v>118.11</v>
      </c>
    </row>
    <row r="42" customFormat="false" ht="12.8" hidden="false" customHeight="false" outlineLevel="0" collapsed="false">
      <c r="A42" s="0" t="n">
        <v>40</v>
      </c>
      <c r="B42" s="0" t="s">
        <v>40</v>
      </c>
      <c r="C42" s="0" t="s">
        <v>310</v>
      </c>
      <c r="D42" s="0" t="n">
        <v>40</v>
      </c>
      <c r="E42" s="0" t="n">
        <v>238.77</v>
      </c>
    </row>
    <row r="43" customFormat="false" ht="12.8" hidden="false" customHeight="false" outlineLevel="0" collapsed="false">
      <c r="A43" s="0" t="n">
        <v>41</v>
      </c>
      <c r="B43" s="0" t="s">
        <v>41</v>
      </c>
      <c r="C43" s="0" t="s">
        <v>311</v>
      </c>
      <c r="D43" s="0" t="n">
        <v>40</v>
      </c>
      <c r="E43" s="0" t="n">
        <v>144.35</v>
      </c>
    </row>
    <row r="44" customFormat="false" ht="12.8" hidden="false" customHeight="false" outlineLevel="0" collapsed="false">
      <c r="A44" s="0" t="n">
        <v>42</v>
      </c>
      <c r="B44" s="0" t="s">
        <v>42</v>
      </c>
      <c r="C44" s="0" t="s">
        <v>312</v>
      </c>
      <c r="D44" s="0" t="n">
        <v>40</v>
      </c>
      <c r="E44" s="0" t="n">
        <v>235.23</v>
      </c>
    </row>
    <row r="45" customFormat="false" ht="12.8" hidden="false" customHeight="false" outlineLevel="0" collapsed="false">
      <c r="A45" s="0" t="n">
        <v>43</v>
      </c>
      <c r="B45" s="0" t="s">
        <v>43</v>
      </c>
      <c r="C45" s="0" t="s">
        <v>313</v>
      </c>
      <c r="D45" s="0" t="n">
        <v>40</v>
      </c>
      <c r="E45" s="0" t="n">
        <v>221.41</v>
      </c>
    </row>
    <row r="46" customFormat="false" ht="12.8" hidden="false" customHeight="false" outlineLevel="0" collapsed="false">
      <c r="A46" s="0" t="n">
        <v>44</v>
      </c>
      <c r="B46" s="0" t="s">
        <v>19</v>
      </c>
      <c r="C46" s="0" t="s">
        <v>314</v>
      </c>
      <c r="D46" s="0" t="n">
        <v>40</v>
      </c>
      <c r="E46" s="0" t="n">
        <v>53.25</v>
      </c>
    </row>
    <row r="47" customFormat="false" ht="12.8" hidden="false" customHeight="false" outlineLevel="0" collapsed="false">
      <c r="A47" s="0" t="n">
        <v>45</v>
      </c>
      <c r="B47" s="0" t="s">
        <v>46</v>
      </c>
      <c r="C47" s="0" t="s">
        <v>315</v>
      </c>
      <c r="D47" s="0" t="n">
        <v>40</v>
      </c>
      <c r="E47" s="0" t="n">
        <v>302.22</v>
      </c>
    </row>
    <row r="48" customFormat="false" ht="12.8" hidden="false" customHeight="false" outlineLevel="0" collapsed="false">
      <c r="A48" s="0" t="n">
        <v>46</v>
      </c>
      <c r="B48" s="0" t="s">
        <v>47</v>
      </c>
      <c r="C48" s="0" t="s">
        <v>316</v>
      </c>
      <c r="D48" s="0" t="n">
        <v>40</v>
      </c>
      <c r="E48" s="0" t="n">
        <v>113.85</v>
      </c>
    </row>
    <row r="49" customFormat="false" ht="12.8" hidden="false" customHeight="false" outlineLevel="0" collapsed="false">
      <c r="A49" s="0" t="n">
        <v>47</v>
      </c>
      <c r="B49" s="0" t="s">
        <v>48</v>
      </c>
      <c r="C49" s="0" t="s">
        <v>317</v>
      </c>
      <c r="D49" s="0" t="n">
        <v>40</v>
      </c>
      <c r="E49" s="0" t="n">
        <v>100.96</v>
      </c>
    </row>
    <row r="50" customFormat="false" ht="12.8" hidden="false" customHeight="false" outlineLevel="0" collapsed="false">
      <c r="A50" s="0" t="n">
        <v>48</v>
      </c>
      <c r="B50" s="0" t="s">
        <v>50</v>
      </c>
      <c r="C50" s="0" t="s">
        <v>318</v>
      </c>
      <c r="D50" s="0" t="n">
        <v>40</v>
      </c>
      <c r="E50" s="0" t="n">
        <v>76.58</v>
      </c>
    </row>
    <row r="51" customFormat="false" ht="12.8" hidden="false" customHeight="false" outlineLevel="0" collapsed="false">
      <c r="A51" s="0" t="n">
        <v>49</v>
      </c>
      <c r="B51" s="0" t="s">
        <v>51</v>
      </c>
      <c r="C51" s="0" t="s">
        <v>319</v>
      </c>
      <c r="D51" s="0" t="n">
        <v>40</v>
      </c>
      <c r="E51" s="0" t="n">
        <v>67.27</v>
      </c>
    </row>
    <row r="52" customFormat="false" ht="12.8" hidden="false" customHeight="false" outlineLevel="0" collapsed="false">
      <c r="A52" s="0" t="n">
        <v>50</v>
      </c>
      <c r="B52" s="0" t="s">
        <v>54</v>
      </c>
      <c r="C52" s="0" t="s">
        <v>320</v>
      </c>
      <c r="D52" s="0" t="n">
        <v>40</v>
      </c>
      <c r="E52" s="0" t="n">
        <v>49.45</v>
      </c>
    </row>
    <row r="53" customFormat="false" ht="12.8" hidden="false" customHeight="false" outlineLevel="0" collapsed="false">
      <c r="A53" s="0" t="n">
        <v>51</v>
      </c>
      <c r="B53" s="0" t="s">
        <v>52</v>
      </c>
      <c r="C53" s="0" t="s">
        <v>321</v>
      </c>
      <c r="D53" s="0" t="n">
        <v>40</v>
      </c>
      <c r="E53" s="0" t="n">
        <v>41.69</v>
      </c>
    </row>
    <row r="54" customFormat="false" ht="12.8" hidden="false" customHeight="false" outlineLevel="0" collapsed="false">
      <c r="A54" s="0" t="n">
        <v>52</v>
      </c>
      <c r="B54" s="0" t="s">
        <v>53</v>
      </c>
      <c r="C54" s="0" t="s">
        <v>322</v>
      </c>
      <c r="D54" s="0" t="n">
        <v>40</v>
      </c>
      <c r="E54" s="0" t="n">
        <v>227.47</v>
      </c>
    </row>
    <row r="55" customFormat="false" ht="12.8" hidden="false" customHeight="false" outlineLevel="0" collapsed="false">
      <c r="A55" s="0" t="n">
        <v>53</v>
      </c>
      <c r="B55" s="0" t="s">
        <v>235</v>
      </c>
      <c r="C55" s="0" t="s">
        <v>323</v>
      </c>
      <c r="D55" s="0" t="n">
        <v>40</v>
      </c>
      <c r="E55" s="0" t="n">
        <v>126.24</v>
      </c>
    </row>
    <row r="56" customFormat="false" ht="12.8" hidden="false" customHeight="false" outlineLevel="0" collapsed="false">
      <c r="A56" s="0" t="n">
        <v>54</v>
      </c>
      <c r="B56" s="0" t="s">
        <v>55</v>
      </c>
      <c r="C56" s="0" t="s">
        <v>324</v>
      </c>
      <c r="D56" s="0" t="n">
        <v>40</v>
      </c>
      <c r="E56" s="0" t="n">
        <v>232.25</v>
      </c>
    </row>
    <row r="57" customFormat="false" ht="12.8" hidden="false" customHeight="false" outlineLevel="0" collapsed="false">
      <c r="A57" s="0" t="n">
        <v>55</v>
      </c>
      <c r="B57" s="0" t="s">
        <v>325</v>
      </c>
      <c r="C57" s="0" t="s">
        <v>326</v>
      </c>
      <c r="D57" s="0" t="n">
        <v>40</v>
      </c>
      <c r="E57" s="0" t="n">
        <v>260.42</v>
      </c>
    </row>
    <row r="58" customFormat="false" ht="12.8" hidden="false" customHeight="false" outlineLevel="0" collapsed="false">
      <c r="A58" s="0" t="n">
        <v>56</v>
      </c>
      <c r="B58" s="0" t="s">
        <v>327</v>
      </c>
      <c r="C58" s="0" t="s">
        <v>328</v>
      </c>
      <c r="D58" s="0" t="n">
        <v>40</v>
      </c>
      <c r="E58" s="0" t="n">
        <v>162.13</v>
      </c>
    </row>
    <row r="59" customFormat="false" ht="12.8" hidden="false" customHeight="false" outlineLevel="0" collapsed="false">
      <c r="A59" s="0" t="n">
        <v>57</v>
      </c>
      <c r="B59" s="0" t="s">
        <v>329</v>
      </c>
      <c r="C59" s="0" t="s">
        <v>330</v>
      </c>
      <c r="D59" s="0" t="n">
        <v>40</v>
      </c>
      <c r="E59" s="0" t="n">
        <v>172.86</v>
      </c>
    </row>
    <row r="60" customFormat="false" ht="12.8" hidden="false" customHeight="false" outlineLevel="0" collapsed="false">
      <c r="A60" s="0" t="n">
        <v>58</v>
      </c>
      <c r="B60" s="0" t="s">
        <v>250</v>
      </c>
      <c r="C60" s="0" t="s">
        <v>331</v>
      </c>
      <c r="D60" s="0" t="n">
        <v>40</v>
      </c>
      <c r="E60" s="0" t="n">
        <v>51.81</v>
      </c>
    </row>
    <row r="61" customFormat="false" ht="12.8" hidden="false" customHeight="false" outlineLevel="0" collapsed="false">
      <c r="A61" s="0" t="n">
        <v>59</v>
      </c>
      <c r="B61" s="0" t="s">
        <v>57</v>
      </c>
      <c r="C61" s="0" t="s">
        <v>332</v>
      </c>
      <c r="D61" s="0" t="n">
        <v>40</v>
      </c>
      <c r="E61" s="0" t="n">
        <v>76.35</v>
      </c>
    </row>
    <row r="62" customFormat="false" ht="12.8" hidden="false" customHeight="false" outlineLevel="0" collapsed="false">
      <c r="A62" s="0" t="n">
        <v>60</v>
      </c>
      <c r="B62" s="0" t="s">
        <v>59</v>
      </c>
      <c r="C62" s="0" t="s">
        <v>333</v>
      </c>
      <c r="D62" s="0" t="n">
        <v>40</v>
      </c>
      <c r="E62" s="0" t="n">
        <v>140.89</v>
      </c>
    </row>
    <row r="63" customFormat="false" ht="12.8" hidden="false" customHeight="false" outlineLevel="0" collapsed="false">
      <c r="A63" s="0" t="n">
        <v>61</v>
      </c>
      <c r="B63" s="0" t="s">
        <v>334</v>
      </c>
      <c r="C63" s="0" t="s">
        <v>335</v>
      </c>
      <c r="D63" s="0" t="n">
        <v>40</v>
      </c>
      <c r="E63" s="0" t="n">
        <v>39.94</v>
      </c>
    </row>
    <row r="64" customFormat="false" ht="12.8" hidden="false" customHeight="false" outlineLevel="0" collapsed="false">
      <c r="A64" s="0" t="n">
        <v>62</v>
      </c>
      <c r="B64" s="0" t="s">
        <v>336</v>
      </c>
      <c r="C64" s="0" t="s">
        <v>337</v>
      </c>
      <c r="D64" s="0" t="n">
        <v>40</v>
      </c>
      <c r="E64" s="0" t="n">
        <v>97.22</v>
      </c>
    </row>
    <row r="65" customFormat="false" ht="12.8" hidden="false" customHeight="false" outlineLevel="0" collapsed="false">
      <c r="A65" s="0" t="n">
        <v>63</v>
      </c>
      <c r="B65" s="0" t="s">
        <v>60</v>
      </c>
      <c r="C65" s="0" t="s">
        <v>338</v>
      </c>
      <c r="D65" s="0" t="n">
        <v>40</v>
      </c>
      <c r="E65" s="0" t="n">
        <v>212.07</v>
      </c>
    </row>
    <row r="66" customFormat="false" ht="12.8" hidden="false" customHeight="false" outlineLevel="0" collapsed="false">
      <c r="A66" s="0" t="n">
        <v>64</v>
      </c>
      <c r="B66" s="0" t="s">
        <v>61</v>
      </c>
      <c r="C66" s="0" t="s">
        <v>339</v>
      </c>
      <c r="D66" s="0" t="n">
        <v>40</v>
      </c>
      <c r="E66" s="0" t="n">
        <v>69.56</v>
      </c>
    </row>
    <row r="67" customFormat="false" ht="12.8" hidden="false" customHeight="false" outlineLevel="0" collapsed="false">
      <c r="A67" s="0" t="n">
        <v>65</v>
      </c>
      <c r="B67" s="0" t="s">
        <v>62</v>
      </c>
      <c r="C67" s="0" t="s">
        <v>340</v>
      </c>
      <c r="D67" s="0" t="n">
        <v>40</v>
      </c>
      <c r="E67" s="0" t="n">
        <v>203.78</v>
      </c>
    </row>
    <row r="68" customFormat="false" ht="12.8" hidden="false" customHeight="false" outlineLevel="0" collapsed="false">
      <c r="A68" s="0" t="n">
        <v>66</v>
      </c>
      <c r="B68" s="0" t="s">
        <v>341</v>
      </c>
      <c r="C68" s="0" t="s">
        <v>342</v>
      </c>
      <c r="D68" s="0" t="n">
        <v>40</v>
      </c>
      <c r="E68" s="0" t="n">
        <v>176.57</v>
      </c>
    </row>
    <row r="69" customFormat="false" ht="12.8" hidden="false" customHeight="false" outlineLevel="0" collapsed="false">
      <c r="A69" s="0" t="n">
        <v>67</v>
      </c>
      <c r="B69" s="0" t="s">
        <v>232</v>
      </c>
      <c r="C69" s="0" t="s">
        <v>343</v>
      </c>
      <c r="D69" s="0" t="n">
        <v>40</v>
      </c>
      <c r="E69" s="0" t="n">
        <v>132.2</v>
      </c>
    </row>
    <row r="70" customFormat="false" ht="12.8" hidden="false" customHeight="false" outlineLevel="0" collapsed="false">
      <c r="A70" s="0" t="n">
        <v>68</v>
      </c>
      <c r="B70" s="0" t="s">
        <v>63</v>
      </c>
      <c r="C70" s="0" t="s">
        <v>344</v>
      </c>
      <c r="D70" s="0" t="n">
        <v>40</v>
      </c>
      <c r="E70" s="0" t="n">
        <v>71.6</v>
      </c>
    </row>
    <row r="71" customFormat="false" ht="12.8" hidden="false" customHeight="false" outlineLevel="0" collapsed="false">
      <c r="A71" s="0" t="n">
        <v>69</v>
      </c>
      <c r="B71" s="0" t="s">
        <v>64</v>
      </c>
      <c r="C71" s="0" t="s">
        <v>345</v>
      </c>
      <c r="D71" s="0" t="n">
        <v>40</v>
      </c>
      <c r="E71" s="0" t="n">
        <v>54.69</v>
      </c>
    </row>
    <row r="72" customFormat="false" ht="12.8" hidden="false" customHeight="false" outlineLevel="0" collapsed="false">
      <c r="A72" s="0" t="n">
        <v>70</v>
      </c>
      <c r="B72" s="0" t="s">
        <v>66</v>
      </c>
      <c r="C72" s="0" t="s">
        <v>346</v>
      </c>
      <c r="D72" s="0" t="n">
        <v>40</v>
      </c>
      <c r="E72" s="0" t="n">
        <v>88.57</v>
      </c>
    </row>
    <row r="73" customFormat="false" ht="12.8" hidden="false" customHeight="false" outlineLevel="0" collapsed="false">
      <c r="A73" s="0" t="n">
        <v>71</v>
      </c>
      <c r="B73" s="0" t="s">
        <v>67</v>
      </c>
      <c r="C73" s="0" t="s">
        <v>347</v>
      </c>
      <c r="D73" s="0" t="n">
        <v>40</v>
      </c>
      <c r="E73" s="0" t="n">
        <v>67.4</v>
      </c>
    </row>
    <row r="74" customFormat="false" ht="12.8" hidden="false" customHeight="false" outlineLevel="0" collapsed="false">
      <c r="A74" s="0" t="n">
        <v>72</v>
      </c>
      <c r="B74" s="0" t="s">
        <v>68</v>
      </c>
      <c r="C74" s="0" t="s">
        <v>348</v>
      </c>
      <c r="D74" s="0" t="n">
        <v>40</v>
      </c>
      <c r="E74" s="0" t="n">
        <v>75.21</v>
      </c>
    </row>
    <row r="75" customFormat="false" ht="12.8" hidden="false" customHeight="false" outlineLevel="0" collapsed="false">
      <c r="A75" s="0" t="n">
        <v>73</v>
      </c>
      <c r="B75" s="0" t="s">
        <v>69</v>
      </c>
      <c r="C75" s="0" t="s">
        <v>349</v>
      </c>
      <c r="D75" s="0" t="n">
        <v>40</v>
      </c>
      <c r="E75" s="0" t="n">
        <v>250.24</v>
      </c>
    </row>
    <row r="76" customFormat="false" ht="12.8" hidden="false" customHeight="false" outlineLevel="0" collapsed="false">
      <c r="A76" s="0" t="n">
        <v>74</v>
      </c>
      <c r="B76" s="0" t="s">
        <v>70</v>
      </c>
      <c r="C76" s="0" t="s">
        <v>350</v>
      </c>
      <c r="D76" s="0" t="n">
        <v>40</v>
      </c>
      <c r="E76" s="0" t="n">
        <v>225.51</v>
      </c>
    </row>
    <row r="77" customFormat="false" ht="12.8" hidden="false" customHeight="false" outlineLevel="0" collapsed="false">
      <c r="A77" s="0" t="n">
        <v>75</v>
      </c>
      <c r="B77" s="0" t="s">
        <v>71</v>
      </c>
      <c r="C77" s="0" t="s">
        <v>351</v>
      </c>
      <c r="D77" s="0" t="n">
        <v>40</v>
      </c>
      <c r="E77" s="0" t="n">
        <v>58.98</v>
      </c>
    </row>
    <row r="78" customFormat="false" ht="12.8" hidden="false" customHeight="false" outlineLevel="0" collapsed="false">
      <c r="A78" s="0" t="n">
        <v>76</v>
      </c>
      <c r="B78" s="0" t="s">
        <v>72</v>
      </c>
      <c r="C78" s="0" t="s">
        <v>352</v>
      </c>
      <c r="D78" s="0" t="n">
        <v>40</v>
      </c>
      <c r="E78" s="0" t="n">
        <v>84.54</v>
      </c>
    </row>
    <row r="79" customFormat="false" ht="12.8" hidden="false" customHeight="false" outlineLevel="0" collapsed="false">
      <c r="A79" s="0" t="n">
        <v>77</v>
      </c>
      <c r="B79" s="0" t="s">
        <v>353</v>
      </c>
      <c r="C79" s="0" t="s">
        <v>354</v>
      </c>
      <c r="D79" s="0" t="n">
        <v>40</v>
      </c>
      <c r="E79" s="0" t="n">
        <v>98.53</v>
      </c>
    </row>
    <row r="80" customFormat="false" ht="12.8" hidden="false" customHeight="false" outlineLevel="0" collapsed="false">
      <c r="A80" s="0" t="n">
        <v>78</v>
      </c>
      <c r="B80" s="0" t="s">
        <v>74</v>
      </c>
      <c r="C80" s="0" t="s">
        <v>355</v>
      </c>
      <c r="D80" s="0" t="n">
        <v>40</v>
      </c>
      <c r="E80" s="0" t="n">
        <v>84.65</v>
      </c>
    </row>
    <row r="81" customFormat="false" ht="12.8" hidden="false" customHeight="false" outlineLevel="0" collapsed="false">
      <c r="A81" s="0" t="n">
        <v>79</v>
      </c>
      <c r="B81" s="0" t="s">
        <v>75</v>
      </c>
      <c r="C81" s="0" t="s">
        <v>356</v>
      </c>
      <c r="D81" s="0" t="n">
        <v>40</v>
      </c>
      <c r="E81" s="0" t="n">
        <v>268.19</v>
      </c>
    </row>
    <row r="82" customFormat="false" ht="12.8" hidden="false" customHeight="false" outlineLevel="0" collapsed="false">
      <c r="A82" s="0" t="n">
        <v>80</v>
      </c>
      <c r="B82" s="0" t="s">
        <v>76</v>
      </c>
      <c r="C82" s="0" t="s">
        <v>357</v>
      </c>
      <c r="D82" s="0" t="n">
        <v>40</v>
      </c>
      <c r="E82" s="0" t="n">
        <v>204.98</v>
      </c>
    </row>
    <row r="83" customFormat="false" ht="12.8" hidden="false" customHeight="false" outlineLevel="0" collapsed="false">
      <c r="A83" s="0" t="n">
        <v>81</v>
      </c>
      <c r="B83" s="0" t="s">
        <v>77</v>
      </c>
      <c r="C83" s="0" t="s">
        <v>358</v>
      </c>
      <c r="D83" s="0" t="n">
        <v>40</v>
      </c>
      <c r="E83" s="0" t="n">
        <v>223.33</v>
      </c>
    </row>
    <row r="84" customFormat="false" ht="12.8" hidden="false" customHeight="false" outlineLevel="0" collapsed="false">
      <c r="A84" s="0" t="n">
        <v>82</v>
      </c>
      <c r="B84" s="0" t="s">
        <v>44</v>
      </c>
      <c r="C84" s="0" t="s">
        <v>359</v>
      </c>
      <c r="D84" s="0" t="n">
        <v>40</v>
      </c>
      <c r="E84" s="0" t="n">
        <v>69.64</v>
      </c>
    </row>
    <row r="85" customFormat="false" ht="12.8" hidden="false" customHeight="false" outlineLevel="0" collapsed="false">
      <c r="A85" s="0" t="n">
        <v>83</v>
      </c>
      <c r="B85" s="0" t="s">
        <v>78</v>
      </c>
      <c r="C85" s="0" t="s">
        <v>360</v>
      </c>
      <c r="D85" s="0" t="n">
        <v>40</v>
      </c>
      <c r="E85" s="0" t="n">
        <v>135.42</v>
      </c>
    </row>
    <row r="86" customFormat="false" ht="12.8" hidden="false" customHeight="false" outlineLevel="0" collapsed="false">
      <c r="A86" s="0" t="n">
        <v>84</v>
      </c>
      <c r="B86" s="0" t="s">
        <v>79</v>
      </c>
      <c r="C86" s="0" t="s">
        <v>361</v>
      </c>
      <c r="D86" s="0" t="n">
        <v>40</v>
      </c>
      <c r="E86" s="0" t="n">
        <v>215.75</v>
      </c>
    </row>
    <row r="87" customFormat="false" ht="12.8" hidden="false" customHeight="false" outlineLevel="0" collapsed="false">
      <c r="A87" s="0" t="n">
        <v>85</v>
      </c>
      <c r="B87" s="0" t="s">
        <v>81</v>
      </c>
      <c r="C87" s="0" t="s">
        <v>362</v>
      </c>
      <c r="D87" s="0" t="n">
        <v>40</v>
      </c>
      <c r="E87" s="0" t="n">
        <v>110.87</v>
      </c>
    </row>
    <row r="88" customFormat="false" ht="12.8" hidden="false" customHeight="false" outlineLevel="0" collapsed="false">
      <c r="A88" s="0" t="n">
        <v>86</v>
      </c>
      <c r="B88" s="0" t="s">
        <v>80</v>
      </c>
      <c r="C88" s="0" t="s">
        <v>363</v>
      </c>
      <c r="D88" s="0" t="n">
        <v>40</v>
      </c>
      <c r="E88" s="0" t="n">
        <v>102.36</v>
      </c>
    </row>
    <row r="89" customFormat="false" ht="12.8" hidden="false" customHeight="false" outlineLevel="0" collapsed="false">
      <c r="A89" s="0" t="n">
        <v>87</v>
      </c>
      <c r="B89" s="0" t="s">
        <v>82</v>
      </c>
      <c r="C89" s="0" t="s">
        <v>364</v>
      </c>
      <c r="D89" s="0" t="n">
        <v>40</v>
      </c>
      <c r="E89" s="0" t="n">
        <v>84.18</v>
      </c>
    </row>
    <row r="90" customFormat="false" ht="12.8" hidden="false" customHeight="false" outlineLevel="0" collapsed="false">
      <c r="A90" s="0" t="n">
        <v>88</v>
      </c>
      <c r="B90" s="0" t="s">
        <v>365</v>
      </c>
      <c r="C90" s="0" t="s">
        <v>366</v>
      </c>
      <c r="D90" s="0" t="n">
        <v>40</v>
      </c>
      <c r="E90" s="0" t="n">
        <v>92.85</v>
      </c>
    </row>
    <row r="91" customFormat="false" ht="12.8" hidden="false" customHeight="false" outlineLevel="0" collapsed="false">
      <c r="A91" s="0" t="n">
        <v>89</v>
      </c>
      <c r="B91" s="0" t="s">
        <v>367</v>
      </c>
      <c r="C91" s="0" t="s">
        <v>368</v>
      </c>
      <c r="D91" s="0" t="n">
        <v>40</v>
      </c>
      <c r="E91" s="0" t="n">
        <v>188.93</v>
      </c>
    </row>
    <row r="92" customFormat="false" ht="12.8" hidden="false" customHeight="false" outlineLevel="0" collapsed="false">
      <c r="A92" s="0" t="n">
        <v>90</v>
      </c>
      <c r="B92" s="0" t="s">
        <v>84</v>
      </c>
      <c r="C92" s="0" t="s">
        <v>369</v>
      </c>
      <c r="D92" s="0" t="n">
        <v>40</v>
      </c>
      <c r="E92" s="0" t="n">
        <v>80.9</v>
      </c>
    </row>
    <row r="93" customFormat="false" ht="12.8" hidden="false" customHeight="false" outlineLevel="0" collapsed="false">
      <c r="A93" s="0" t="n">
        <v>91</v>
      </c>
      <c r="B93" s="0" t="s">
        <v>85</v>
      </c>
      <c r="C93" s="0" t="s">
        <v>370</v>
      </c>
      <c r="D93" s="0" t="n">
        <v>40</v>
      </c>
      <c r="E93" s="0" t="n">
        <v>75.19</v>
      </c>
    </row>
    <row r="94" customFormat="false" ht="12.8" hidden="false" customHeight="false" outlineLevel="0" collapsed="false">
      <c r="A94" s="0" t="n">
        <v>92</v>
      </c>
      <c r="B94" s="0" t="s">
        <v>86</v>
      </c>
      <c r="C94" s="0" t="s">
        <v>371</v>
      </c>
      <c r="D94" s="0" t="n">
        <v>40</v>
      </c>
      <c r="E94" s="0" t="n">
        <v>88.14</v>
      </c>
    </row>
    <row r="95" customFormat="false" ht="12.8" hidden="false" customHeight="false" outlineLevel="0" collapsed="false">
      <c r="A95" s="0" t="n">
        <v>93</v>
      </c>
      <c r="B95" s="0" t="s">
        <v>88</v>
      </c>
      <c r="C95" s="0" t="s">
        <v>372</v>
      </c>
      <c r="D95" s="0" t="n">
        <v>40</v>
      </c>
      <c r="E95" s="0" t="n">
        <v>111.31</v>
      </c>
    </row>
    <row r="96" customFormat="false" ht="12.8" hidden="false" customHeight="false" outlineLevel="0" collapsed="false">
      <c r="A96" s="0" t="n">
        <v>94</v>
      </c>
      <c r="B96" s="0" t="s">
        <v>89</v>
      </c>
      <c r="C96" s="0" t="s">
        <v>373</v>
      </c>
      <c r="D96" s="0" t="n">
        <v>40</v>
      </c>
      <c r="E96" s="0" t="n">
        <v>60.31</v>
      </c>
    </row>
    <row r="97" customFormat="false" ht="12.8" hidden="false" customHeight="false" outlineLevel="0" collapsed="false">
      <c r="A97" s="0" t="n">
        <v>95</v>
      </c>
      <c r="B97" s="0" t="s">
        <v>87</v>
      </c>
      <c r="C97" s="0" t="s">
        <v>374</v>
      </c>
      <c r="D97" s="0" t="n">
        <v>40</v>
      </c>
      <c r="E97" s="0" t="n">
        <v>222.44</v>
      </c>
    </row>
    <row r="98" customFormat="false" ht="12.8" hidden="false" customHeight="false" outlineLevel="0" collapsed="false">
      <c r="A98" s="0" t="n">
        <v>96</v>
      </c>
      <c r="B98" s="0" t="s">
        <v>90</v>
      </c>
      <c r="C98" s="0" t="s">
        <v>375</v>
      </c>
      <c r="D98" s="0" t="n">
        <v>40</v>
      </c>
      <c r="E98" s="0" t="n">
        <v>53.21</v>
      </c>
    </row>
    <row r="99" customFormat="false" ht="12.8" hidden="false" customHeight="false" outlineLevel="0" collapsed="false">
      <c r="A99" s="0" t="n">
        <v>97</v>
      </c>
      <c r="B99" s="0" t="s">
        <v>91</v>
      </c>
      <c r="C99" s="0" t="s">
        <v>376</v>
      </c>
      <c r="D99" s="0" t="n">
        <v>40</v>
      </c>
      <c r="E99" s="0" t="n">
        <v>84.17</v>
      </c>
    </row>
    <row r="100" customFormat="false" ht="12.8" hidden="false" customHeight="false" outlineLevel="0" collapsed="false">
      <c r="A100" s="0" t="n">
        <v>98</v>
      </c>
      <c r="B100" s="0" t="s">
        <v>92</v>
      </c>
      <c r="C100" s="0" t="s">
        <v>377</v>
      </c>
      <c r="D100" s="0" t="n">
        <v>40</v>
      </c>
      <c r="E100" s="0" t="n">
        <v>232.95</v>
      </c>
    </row>
    <row r="101" customFormat="false" ht="12.8" hidden="false" customHeight="false" outlineLevel="0" collapsed="false">
      <c r="A101" s="0" t="n">
        <v>99</v>
      </c>
      <c r="B101" s="0" t="s">
        <v>93</v>
      </c>
      <c r="C101" s="0" t="s">
        <v>378</v>
      </c>
      <c r="D101" s="0" t="n">
        <v>40</v>
      </c>
      <c r="E101" s="0" t="n">
        <v>209.14</v>
      </c>
    </row>
    <row r="102" customFormat="false" ht="12.8" hidden="false" customHeight="false" outlineLevel="0" collapsed="false">
      <c r="A102" s="0" t="n">
        <v>100</v>
      </c>
      <c r="B102" s="0" t="s">
        <v>94</v>
      </c>
      <c r="C102" s="0" t="s">
        <v>379</v>
      </c>
      <c r="D102" s="0" t="n">
        <v>40</v>
      </c>
      <c r="E102" s="0" t="n">
        <v>59.09</v>
      </c>
    </row>
    <row r="103" customFormat="false" ht="12.8" hidden="false" customHeight="false" outlineLevel="0" collapsed="false">
      <c r="A103" s="0" t="n">
        <v>101</v>
      </c>
      <c r="B103" s="0" t="s">
        <v>95</v>
      </c>
      <c r="C103" s="0" t="s">
        <v>380</v>
      </c>
      <c r="D103" s="0" t="n">
        <v>40</v>
      </c>
      <c r="E103" s="0" t="n">
        <v>77.11</v>
      </c>
    </row>
    <row r="104" customFormat="false" ht="12.8" hidden="false" customHeight="false" outlineLevel="0" collapsed="false">
      <c r="A104" s="0" t="n">
        <v>102</v>
      </c>
      <c r="B104" s="0" t="s">
        <v>96</v>
      </c>
      <c r="C104" s="0" t="s">
        <v>381</v>
      </c>
      <c r="D104" s="0" t="n">
        <v>40</v>
      </c>
      <c r="E104" s="0" t="n">
        <v>105.95</v>
      </c>
    </row>
    <row r="105" customFormat="false" ht="12.8" hidden="false" customHeight="false" outlineLevel="0" collapsed="false">
      <c r="A105" s="0" t="n">
        <v>103</v>
      </c>
      <c r="B105" s="0" t="s">
        <v>97</v>
      </c>
      <c r="C105" s="0" t="s">
        <v>382</v>
      </c>
      <c r="D105" s="0" t="n">
        <v>40</v>
      </c>
      <c r="E105" s="0" t="n">
        <v>77.55</v>
      </c>
    </row>
    <row r="106" customFormat="false" ht="12.8" hidden="false" customHeight="false" outlineLevel="0" collapsed="false">
      <c r="A106" s="0" t="n">
        <v>104</v>
      </c>
      <c r="B106" s="0" t="s">
        <v>98</v>
      </c>
      <c r="C106" s="0" t="s">
        <v>383</v>
      </c>
      <c r="D106" s="0" t="n">
        <v>40</v>
      </c>
      <c r="E106" s="0" t="n">
        <v>61.46</v>
      </c>
    </row>
    <row r="107" customFormat="false" ht="12.8" hidden="false" customHeight="false" outlineLevel="0" collapsed="false">
      <c r="A107" s="0" t="n">
        <v>105</v>
      </c>
      <c r="B107" s="0" t="s">
        <v>99</v>
      </c>
      <c r="C107" s="0" t="s">
        <v>384</v>
      </c>
      <c r="D107" s="0" t="n">
        <v>40</v>
      </c>
      <c r="E107" s="0" t="n">
        <v>227.55</v>
      </c>
    </row>
    <row r="108" customFormat="false" ht="12.8" hidden="false" customHeight="false" outlineLevel="0" collapsed="false">
      <c r="A108" s="0" t="n">
        <v>106</v>
      </c>
      <c r="B108" s="0" t="s">
        <v>385</v>
      </c>
      <c r="C108" s="0" t="s">
        <v>386</v>
      </c>
      <c r="D108" s="0" t="n">
        <v>40</v>
      </c>
      <c r="E108" s="0" t="n">
        <v>179.29</v>
      </c>
    </row>
    <row r="109" customFormat="false" ht="12.8" hidden="false" customHeight="false" outlineLevel="0" collapsed="false">
      <c r="A109" s="0" t="n">
        <v>107</v>
      </c>
      <c r="B109" s="0" t="s">
        <v>100</v>
      </c>
      <c r="C109" s="0" t="s">
        <v>387</v>
      </c>
      <c r="D109" s="0" t="n">
        <v>40</v>
      </c>
      <c r="E109" s="0" t="n">
        <v>56.62</v>
      </c>
    </row>
    <row r="110" customFormat="false" ht="12.8" hidden="false" customHeight="false" outlineLevel="0" collapsed="false">
      <c r="A110" s="0" t="n">
        <v>108</v>
      </c>
      <c r="B110" s="0" t="s">
        <v>101</v>
      </c>
      <c r="C110" s="0" t="s">
        <v>388</v>
      </c>
      <c r="D110" s="0" t="n">
        <v>40</v>
      </c>
      <c r="E110" s="0" t="n">
        <v>102.98</v>
      </c>
    </row>
    <row r="111" customFormat="false" ht="12.8" hidden="false" customHeight="false" outlineLevel="0" collapsed="false">
      <c r="A111" s="0" t="n">
        <v>109</v>
      </c>
      <c r="B111" s="0" t="s">
        <v>102</v>
      </c>
      <c r="C111" s="0" t="s">
        <v>389</v>
      </c>
      <c r="D111" s="0" t="n">
        <v>40</v>
      </c>
      <c r="E111" s="0" t="n">
        <v>97.85</v>
      </c>
    </row>
    <row r="112" customFormat="false" ht="12.8" hidden="false" customHeight="false" outlineLevel="0" collapsed="false">
      <c r="A112" s="0" t="n">
        <v>110</v>
      </c>
      <c r="B112" s="0" t="s">
        <v>104</v>
      </c>
      <c r="C112" s="0" t="s">
        <v>390</v>
      </c>
      <c r="D112" s="0" t="n">
        <v>40</v>
      </c>
      <c r="E112" s="0" t="n">
        <v>138.28</v>
      </c>
    </row>
    <row r="113" customFormat="false" ht="12.8" hidden="false" customHeight="false" outlineLevel="0" collapsed="false">
      <c r="A113" s="0" t="n">
        <v>111</v>
      </c>
      <c r="B113" s="0" t="s">
        <v>129</v>
      </c>
      <c r="C113" s="0" t="s">
        <v>391</v>
      </c>
      <c r="D113" s="0" t="n">
        <v>40</v>
      </c>
      <c r="E113" s="0" t="n">
        <v>146.88</v>
      </c>
    </row>
    <row r="114" customFormat="false" ht="12.8" hidden="false" customHeight="false" outlineLevel="0" collapsed="false">
      <c r="A114" s="0" t="n">
        <v>112</v>
      </c>
      <c r="B114" s="0" t="s">
        <v>105</v>
      </c>
      <c r="C114" s="0" t="s">
        <v>392</v>
      </c>
      <c r="D114" s="0" t="n">
        <v>40</v>
      </c>
      <c r="E114" s="0" t="n">
        <v>169.33</v>
      </c>
    </row>
    <row r="115" customFormat="false" ht="12.8" hidden="false" customHeight="false" outlineLevel="0" collapsed="false">
      <c r="A115" s="0" t="n">
        <v>113</v>
      </c>
      <c r="B115" s="0" t="s">
        <v>106</v>
      </c>
      <c r="C115" s="0" t="s">
        <v>393</v>
      </c>
      <c r="D115" s="0" t="n">
        <v>40</v>
      </c>
      <c r="E115" s="0" t="n">
        <v>94.87</v>
      </c>
    </row>
    <row r="116" customFormat="false" ht="12.8" hidden="false" customHeight="false" outlineLevel="0" collapsed="false">
      <c r="A116" s="0" t="n">
        <v>114</v>
      </c>
      <c r="B116" s="0" t="s">
        <v>107</v>
      </c>
      <c r="C116" s="0" t="s">
        <v>394</v>
      </c>
      <c r="D116" s="0" t="n">
        <v>40</v>
      </c>
      <c r="E116" s="0" t="n">
        <v>58.28</v>
      </c>
    </row>
    <row r="117" customFormat="false" ht="12.8" hidden="false" customHeight="false" outlineLevel="0" collapsed="false">
      <c r="A117" s="0" t="n">
        <v>115</v>
      </c>
      <c r="B117" s="0" t="s">
        <v>117</v>
      </c>
      <c r="C117" s="0" t="s">
        <v>395</v>
      </c>
      <c r="D117" s="0" t="n">
        <v>40</v>
      </c>
      <c r="E117" s="0" t="n">
        <v>76.94</v>
      </c>
    </row>
    <row r="118" customFormat="false" ht="12.8" hidden="false" customHeight="false" outlineLevel="0" collapsed="false">
      <c r="A118" s="0" t="n">
        <v>116</v>
      </c>
      <c r="B118" s="0" t="s">
        <v>109</v>
      </c>
      <c r="C118" s="0" t="s">
        <v>396</v>
      </c>
      <c r="D118" s="0" t="n">
        <v>40</v>
      </c>
      <c r="E118" s="0" t="n">
        <v>111.17</v>
      </c>
    </row>
    <row r="119" customFormat="false" ht="12.8" hidden="false" customHeight="false" outlineLevel="0" collapsed="false">
      <c r="A119" s="0" t="n">
        <v>117</v>
      </c>
      <c r="B119" s="0" t="s">
        <v>110</v>
      </c>
      <c r="C119" s="0" t="s">
        <v>397</v>
      </c>
      <c r="D119" s="0" t="n">
        <v>40</v>
      </c>
      <c r="E119" s="0" t="n">
        <v>44.85</v>
      </c>
    </row>
    <row r="120" customFormat="false" ht="12.8" hidden="false" customHeight="false" outlineLevel="0" collapsed="false">
      <c r="A120" s="0" t="n">
        <v>118</v>
      </c>
      <c r="B120" s="0" t="s">
        <v>398</v>
      </c>
      <c r="C120" s="0" t="s">
        <v>399</v>
      </c>
      <c r="D120" s="0" t="n">
        <v>40</v>
      </c>
      <c r="E120" s="0" t="n">
        <v>270.37</v>
      </c>
    </row>
    <row r="121" customFormat="false" ht="12.8" hidden="false" customHeight="false" outlineLevel="0" collapsed="false">
      <c r="A121" s="0" t="n">
        <v>119</v>
      </c>
      <c r="B121" s="0" t="s">
        <v>400</v>
      </c>
      <c r="C121" s="0" t="s">
        <v>401</v>
      </c>
      <c r="D121" s="0" t="n">
        <v>40</v>
      </c>
      <c r="E121" s="0" t="n">
        <v>228.31</v>
      </c>
    </row>
    <row r="122" customFormat="false" ht="12.8" hidden="false" customHeight="false" outlineLevel="0" collapsed="false">
      <c r="A122" s="0" t="n">
        <v>120</v>
      </c>
      <c r="B122" s="0" t="s">
        <v>171</v>
      </c>
      <c r="C122" s="0" t="s">
        <v>402</v>
      </c>
      <c r="D122" s="0" t="n">
        <v>40</v>
      </c>
      <c r="E122" s="0" t="n">
        <v>77.79</v>
      </c>
    </row>
    <row r="123" customFormat="false" ht="12.8" hidden="false" customHeight="false" outlineLevel="0" collapsed="false">
      <c r="A123" s="0" t="n">
        <v>121</v>
      </c>
      <c r="B123" s="0" t="s">
        <v>112</v>
      </c>
      <c r="C123" s="0" t="s">
        <v>403</v>
      </c>
      <c r="D123" s="0" t="n">
        <v>40</v>
      </c>
      <c r="E123" s="0" t="n">
        <v>255.56</v>
      </c>
    </row>
    <row r="124" customFormat="false" ht="12.8" hidden="false" customHeight="false" outlineLevel="0" collapsed="false">
      <c r="A124" s="0" t="n">
        <v>122</v>
      </c>
      <c r="B124" s="0" t="s">
        <v>113</v>
      </c>
      <c r="C124" s="0" t="s">
        <v>404</v>
      </c>
      <c r="D124" s="0" t="n">
        <v>40</v>
      </c>
      <c r="E124" s="0" t="n">
        <v>79.48</v>
      </c>
    </row>
    <row r="125" customFormat="false" ht="12.8" hidden="false" customHeight="false" outlineLevel="0" collapsed="false">
      <c r="A125" s="0" t="n">
        <v>123</v>
      </c>
      <c r="B125" s="0" t="s">
        <v>114</v>
      </c>
      <c r="C125" s="0" t="s">
        <v>405</v>
      </c>
      <c r="D125" s="0" t="n">
        <v>40</v>
      </c>
      <c r="E125" s="0" t="n">
        <v>33.52</v>
      </c>
    </row>
    <row r="126" customFormat="false" ht="12.8" hidden="false" customHeight="false" outlineLevel="0" collapsed="false">
      <c r="A126" s="0" t="n">
        <v>124</v>
      </c>
      <c r="B126" s="0" t="s">
        <v>115</v>
      </c>
      <c r="C126" s="0" t="s">
        <v>406</v>
      </c>
      <c r="D126" s="0" t="n">
        <v>40</v>
      </c>
      <c r="E126" s="0" t="n">
        <v>57.3</v>
      </c>
    </row>
    <row r="127" customFormat="false" ht="12.8" hidden="false" customHeight="false" outlineLevel="0" collapsed="false">
      <c r="A127" s="0" t="n">
        <v>125</v>
      </c>
      <c r="B127" s="0" t="s">
        <v>116</v>
      </c>
      <c r="C127" s="0" t="s">
        <v>407</v>
      </c>
      <c r="D127" s="0" t="n">
        <v>40</v>
      </c>
      <c r="E127" s="0" t="n">
        <v>303.88</v>
      </c>
    </row>
    <row r="128" customFormat="false" ht="12.8" hidden="false" customHeight="false" outlineLevel="0" collapsed="false">
      <c r="A128" s="0" t="n">
        <v>126</v>
      </c>
      <c r="B128" s="0" t="s">
        <v>118</v>
      </c>
      <c r="C128" s="0" t="s">
        <v>408</v>
      </c>
      <c r="D128" s="0" t="n">
        <v>40</v>
      </c>
      <c r="E128" s="0" t="n">
        <v>54.98</v>
      </c>
    </row>
    <row r="129" customFormat="false" ht="12.8" hidden="false" customHeight="false" outlineLevel="0" collapsed="false">
      <c r="A129" s="0" t="n">
        <v>127</v>
      </c>
      <c r="B129" s="0" t="s">
        <v>120</v>
      </c>
      <c r="C129" s="0" t="s">
        <v>409</v>
      </c>
      <c r="D129" s="0" t="n">
        <v>40</v>
      </c>
      <c r="E129" s="0" t="n">
        <v>113.74</v>
      </c>
    </row>
    <row r="130" customFormat="false" ht="12.8" hidden="false" customHeight="false" outlineLevel="0" collapsed="false">
      <c r="A130" s="0" t="n">
        <v>128</v>
      </c>
      <c r="B130" s="0" t="s">
        <v>121</v>
      </c>
      <c r="C130" s="0" t="s">
        <v>410</v>
      </c>
      <c r="D130" s="0" t="n">
        <v>40</v>
      </c>
      <c r="E130" s="0" t="n">
        <v>93.98</v>
      </c>
    </row>
    <row r="131" customFormat="false" ht="12.8" hidden="false" customHeight="false" outlineLevel="0" collapsed="false">
      <c r="A131" s="0" t="n">
        <v>129</v>
      </c>
      <c r="B131" s="0" t="s">
        <v>122</v>
      </c>
      <c r="C131" s="0" t="s">
        <v>411</v>
      </c>
      <c r="D131" s="0" t="n">
        <v>40</v>
      </c>
      <c r="E131" s="0" t="n">
        <v>125.58</v>
      </c>
    </row>
    <row r="132" customFormat="false" ht="12.8" hidden="false" customHeight="false" outlineLevel="0" collapsed="false">
      <c r="A132" s="0" t="n">
        <v>130</v>
      </c>
      <c r="B132" s="0" t="s">
        <v>123</v>
      </c>
      <c r="C132" s="0" t="s">
        <v>412</v>
      </c>
      <c r="D132" s="0" t="n">
        <v>40</v>
      </c>
      <c r="E132" s="0" t="n">
        <v>115.94</v>
      </c>
    </row>
    <row r="133" customFormat="false" ht="12.8" hidden="false" customHeight="false" outlineLevel="0" collapsed="false">
      <c r="A133" s="0" t="n">
        <v>131</v>
      </c>
      <c r="B133" s="0" t="s">
        <v>124</v>
      </c>
      <c r="C133" s="0" t="s">
        <v>413</v>
      </c>
      <c r="D133" s="0" t="n">
        <v>40</v>
      </c>
      <c r="E133" s="0" t="n">
        <v>119.12</v>
      </c>
    </row>
    <row r="134" customFormat="false" ht="12.8" hidden="false" customHeight="false" outlineLevel="0" collapsed="false">
      <c r="A134" s="0" t="n">
        <v>132</v>
      </c>
      <c r="B134" s="0" t="s">
        <v>125</v>
      </c>
      <c r="C134" s="0" t="s">
        <v>414</v>
      </c>
      <c r="D134" s="0" t="n">
        <v>40</v>
      </c>
      <c r="E134" s="0" t="n">
        <v>203.51</v>
      </c>
    </row>
    <row r="135" customFormat="false" ht="12.8" hidden="false" customHeight="false" outlineLevel="0" collapsed="false">
      <c r="A135" s="0" t="n">
        <v>133</v>
      </c>
      <c r="B135" s="0" t="s">
        <v>126</v>
      </c>
      <c r="C135" s="0" t="s">
        <v>415</v>
      </c>
      <c r="D135" s="0" t="n">
        <v>40</v>
      </c>
      <c r="E135" s="0" t="n">
        <v>227.57</v>
      </c>
    </row>
    <row r="136" customFormat="false" ht="12.8" hidden="false" customHeight="false" outlineLevel="0" collapsed="false">
      <c r="A136" s="0" t="n">
        <v>134</v>
      </c>
      <c r="B136" s="0" t="s">
        <v>65</v>
      </c>
      <c r="C136" s="0" t="s">
        <v>416</v>
      </c>
      <c r="D136" s="0" t="n">
        <v>40</v>
      </c>
      <c r="E136" s="0" t="n">
        <v>42.15</v>
      </c>
    </row>
    <row r="137" customFormat="false" ht="12.8" hidden="false" customHeight="false" outlineLevel="0" collapsed="false">
      <c r="A137" s="0" t="n">
        <v>135</v>
      </c>
      <c r="B137" s="0" t="s">
        <v>259</v>
      </c>
      <c r="C137" s="0" t="s">
        <v>417</v>
      </c>
      <c r="D137" s="0" t="n">
        <v>40</v>
      </c>
      <c r="E137" s="0" t="n">
        <v>53.58</v>
      </c>
    </row>
    <row r="138" customFormat="false" ht="12.8" hidden="false" customHeight="false" outlineLevel="0" collapsed="false">
      <c r="A138" s="0" t="n">
        <v>136</v>
      </c>
      <c r="B138" s="0" t="s">
        <v>249</v>
      </c>
      <c r="C138" s="0" t="s">
        <v>418</v>
      </c>
      <c r="D138" s="0" t="n">
        <v>40</v>
      </c>
      <c r="E138" s="0" t="n">
        <v>177.86</v>
      </c>
    </row>
    <row r="139" customFormat="false" ht="12.8" hidden="false" customHeight="false" outlineLevel="0" collapsed="false">
      <c r="A139" s="0" t="n">
        <v>137</v>
      </c>
      <c r="B139" s="0" t="s">
        <v>127</v>
      </c>
      <c r="C139" s="0" t="s">
        <v>419</v>
      </c>
      <c r="D139" s="0" t="n">
        <v>40</v>
      </c>
      <c r="E139" s="0" t="n">
        <v>65.04</v>
      </c>
    </row>
    <row r="140" customFormat="false" ht="12.8" hidden="false" customHeight="false" outlineLevel="0" collapsed="false">
      <c r="A140" s="0" t="n">
        <v>138</v>
      </c>
      <c r="B140" s="0" t="s">
        <v>420</v>
      </c>
      <c r="C140" s="0" t="s">
        <v>421</v>
      </c>
      <c r="D140" s="0" t="n">
        <v>40</v>
      </c>
      <c r="E140" s="0" t="n">
        <v>153.97</v>
      </c>
    </row>
    <row r="141" customFormat="false" ht="12.8" hidden="false" customHeight="false" outlineLevel="0" collapsed="false">
      <c r="A141" s="0" t="n">
        <v>139</v>
      </c>
      <c r="B141" s="0" t="s">
        <v>131</v>
      </c>
      <c r="C141" s="0" t="s">
        <v>422</v>
      </c>
      <c r="D141" s="0" t="n">
        <v>40</v>
      </c>
      <c r="E141" s="0" t="n">
        <v>202.59</v>
      </c>
    </row>
    <row r="142" customFormat="false" ht="12.8" hidden="false" customHeight="false" outlineLevel="0" collapsed="false">
      <c r="A142" s="0" t="n">
        <v>140</v>
      </c>
      <c r="B142" s="0" t="s">
        <v>132</v>
      </c>
      <c r="C142" s="0" t="s">
        <v>423</v>
      </c>
      <c r="D142" s="0" t="n">
        <v>40</v>
      </c>
      <c r="E142" s="0" t="n">
        <v>182.01</v>
      </c>
    </row>
    <row r="143" customFormat="false" ht="12.8" hidden="false" customHeight="false" outlineLevel="0" collapsed="false">
      <c r="A143" s="0" t="n">
        <v>141</v>
      </c>
      <c r="B143" s="0" t="s">
        <v>133</v>
      </c>
      <c r="C143" s="0" t="s">
        <v>424</v>
      </c>
      <c r="D143" s="0" t="n">
        <v>40</v>
      </c>
      <c r="E143" s="0" t="n">
        <v>43.58</v>
      </c>
    </row>
    <row r="144" customFormat="false" ht="12.8" hidden="false" customHeight="false" outlineLevel="0" collapsed="false">
      <c r="A144" s="0" t="n">
        <v>142</v>
      </c>
      <c r="B144" s="0" t="s">
        <v>135</v>
      </c>
      <c r="C144" s="0" t="s">
        <v>425</v>
      </c>
      <c r="D144" s="0" t="n">
        <v>40</v>
      </c>
      <c r="E144" s="0" t="n">
        <v>124.8</v>
      </c>
    </row>
    <row r="145" customFormat="false" ht="12.8" hidden="false" customHeight="false" outlineLevel="0" collapsed="false">
      <c r="A145" s="0" t="n">
        <v>143</v>
      </c>
      <c r="B145" s="0" t="s">
        <v>246</v>
      </c>
      <c r="C145" s="0" t="s">
        <v>426</v>
      </c>
      <c r="D145" s="0" t="n">
        <v>40</v>
      </c>
      <c r="E145" s="0" t="n">
        <v>82.44</v>
      </c>
    </row>
    <row r="146" customFormat="false" ht="12.8" hidden="false" customHeight="false" outlineLevel="0" collapsed="false">
      <c r="A146" s="0" t="n">
        <v>144</v>
      </c>
      <c r="B146" s="0" t="s">
        <v>136</v>
      </c>
      <c r="C146" s="0" t="s">
        <v>427</v>
      </c>
      <c r="D146" s="0" t="n">
        <v>40</v>
      </c>
      <c r="E146" s="0" t="n">
        <v>66.85</v>
      </c>
    </row>
    <row r="147" customFormat="false" ht="12.8" hidden="false" customHeight="false" outlineLevel="0" collapsed="false">
      <c r="A147" s="0" t="n">
        <v>145</v>
      </c>
      <c r="B147" s="0" t="s">
        <v>137</v>
      </c>
      <c r="C147" s="0" t="s">
        <v>428</v>
      </c>
      <c r="D147" s="0" t="n">
        <v>40</v>
      </c>
      <c r="E147" s="0" t="n">
        <v>56.76</v>
      </c>
    </row>
    <row r="148" customFormat="false" ht="12.8" hidden="false" customHeight="false" outlineLevel="0" collapsed="false">
      <c r="A148" s="0" t="n">
        <v>146</v>
      </c>
      <c r="B148" s="0" t="s">
        <v>138</v>
      </c>
      <c r="C148" s="0" t="s">
        <v>429</v>
      </c>
      <c r="D148" s="0" t="n">
        <v>40</v>
      </c>
      <c r="E148" s="0" t="n">
        <v>177.64</v>
      </c>
    </row>
    <row r="149" customFormat="false" ht="12.8" hidden="false" customHeight="false" outlineLevel="0" collapsed="false">
      <c r="A149" s="0" t="n">
        <v>147</v>
      </c>
      <c r="B149" s="0" t="s">
        <v>140</v>
      </c>
      <c r="C149" s="0" t="s">
        <v>430</v>
      </c>
      <c r="D149" s="0" t="n">
        <v>40</v>
      </c>
      <c r="E149" s="0" t="n">
        <v>43.39</v>
      </c>
    </row>
    <row r="150" customFormat="false" ht="12.8" hidden="false" customHeight="false" outlineLevel="0" collapsed="false">
      <c r="A150" s="0" t="n">
        <v>148</v>
      </c>
      <c r="B150" s="0" t="s">
        <v>141</v>
      </c>
      <c r="C150" s="0" t="s">
        <v>431</v>
      </c>
      <c r="D150" s="0" t="n">
        <v>40</v>
      </c>
      <c r="E150" s="0" t="n">
        <v>188.11</v>
      </c>
    </row>
    <row r="151" customFormat="false" ht="12.8" hidden="false" customHeight="false" outlineLevel="0" collapsed="false">
      <c r="A151" s="0" t="n">
        <v>149</v>
      </c>
      <c r="B151" s="0" t="s">
        <v>142</v>
      </c>
      <c r="C151" s="0" t="s">
        <v>432</v>
      </c>
      <c r="D151" s="0" t="n">
        <v>40</v>
      </c>
      <c r="E151" s="0" t="n">
        <v>215.71</v>
      </c>
    </row>
    <row r="152" customFormat="false" ht="12.8" hidden="false" customHeight="false" outlineLevel="0" collapsed="false">
      <c r="A152" s="0" t="n">
        <v>150</v>
      </c>
      <c r="B152" s="0" t="s">
        <v>173</v>
      </c>
      <c r="C152" s="0" t="s">
        <v>433</v>
      </c>
      <c r="D152" s="0" t="n">
        <v>40</v>
      </c>
      <c r="E152" s="0" t="n">
        <v>94.6</v>
      </c>
    </row>
    <row r="153" customFormat="false" ht="12.8" hidden="false" customHeight="false" outlineLevel="0" collapsed="false">
      <c r="A153" s="0" t="n">
        <v>151</v>
      </c>
      <c r="B153" s="0" t="s">
        <v>143</v>
      </c>
      <c r="C153" s="0" t="s">
        <v>434</v>
      </c>
      <c r="D153" s="0" t="n">
        <v>40</v>
      </c>
      <c r="E153" s="0" t="n">
        <v>247.28</v>
      </c>
    </row>
    <row r="154" customFormat="false" ht="12.8" hidden="false" customHeight="false" outlineLevel="0" collapsed="false">
      <c r="A154" s="0" t="n">
        <v>152</v>
      </c>
      <c r="B154" s="0" t="s">
        <v>145</v>
      </c>
      <c r="C154" s="0" t="s">
        <v>435</v>
      </c>
      <c r="D154" s="0" t="n">
        <v>40</v>
      </c>
      <c r="E154" s="0" t="n">
        <v>37.79</v>
      </c>
    </row>
    <row r="155" customFormat="false" ht="12.8" hidden="false" customHeight="false" outlineLevel="0" collapsed="false">
      <c r="A155" s="0" t="n">
        <v>153</v>
      </c>
      <c r="B155" s="0" t="s">
        <v>146</v>
      </c>
      <c r="C155" s="0" t="s">
        <v>436</v>
      </c>
      <c r="D155" s="0" t="n">
        <v>40</v>
      </c>
      <c r="E155" s="0" t="n">
        <v>119.08</v>
      </c>
    </row>
    <row r="156" customFormat="false" ht="12.8" hidden="false" customHeight="false" outlineLevel="0" collapsed="false">
      <c r="A156" s="0" t="n">
        <v>154</v>
      </c>
      <c r="B156" s="0" t="s">
        <v>176</v>
      </c>
      <c r="C156" s="0" t="s">
        <v>437</v>
      </c>
      <c r="D156" s="0" t="n">
        <v>40</v>
      </c>
      <c r="E156" s="0" t="n">
        <v>110.92</v>
      </c>
    </row>
    <row r="157" customFormat="false" ht="12.8" hidden="false" customHeight="false" outlineLevel="0" collapsed="false">
      <c r="A157" s="0" t="n">
        <v>155</v>
      </c>
      <c r="B157" s="0" t="s">
        <v>148</v>
      </c>
      <c r="C157" s="0" t="s">
        <v>438</v>
      </c>
      <c r="D157" s="0" t="n">
        <v>40</v>
      </c>
      <c r="E157" s="0" t="n">
        <v>220.29</v>
      </c>
    </row>
    <row r="158" customFormat="false" ht="12.8" hidden="false" customHeight="false" outlineLevel="0" collapsed="false">
      <c r="A158" s="0" t="n">
        <v>156</v>
      </c>
      <c r="B158" s="0" t="s">
        <v>147</v>
      </c>
      <c r="C158" s="0" t="s">
        <v>439</v>
      </c>
      <c r="D158" s="0" t="n">
        <v>40</v>
      </c>
      <c r="E158" s="0" t="n">
        <v>42.12</v>
      </c>
    </row>
    <row r="159" customFormat="false" ht="12.8" hidden="false" customHeight="false" outlineLevel="0" collapsed="false">
      <c r="A159" s="0" t="n">
        <v>157</v>
      </c>
      <c r="B159" s="0" t="s">
        <v>151</v>
      </c>
      <c r="C159" s="0" t="s">
        <v>440</v>
      </c>
      <c r="D159" s="0" t="n">
        <v>40</v>
      </c>
      <c r="E159" s="0" t="n">
        <v>46.18</v>
      </c>
    </row>
    <row r="160" customFormat="false" ht="12.8" hidden="false" customHeight="false" outlineLevel="0" collapsed="false">
      <c r="A160" s="0" t="n">
        <v>158</v>
      </c>
      <c r="B160" s="0" t="s">
        <v>152</v>
      </c>
      <c r="C160" s="0" t="s">
        <v>441</v>
      </c>
      <c r="D160" s="0" t="n">
        <v>40</v>
      </c>
      <c r="E160" s="0" t="n">
        <v>118.51</v>
      </c>
    </row>
    <row r="161" customFormat="false" ht="12.8" hidden="false" customHeight="false" outlineLevel="0" collapsed="false">
      <c r="A161" s="0" t="n">
        <v>159</v>
      </c>
      <c r="B161" s="0" t="s">
        <v>253</v>
      </c>
      <c r="C161" s="0" t="s">
        <v>442</v>
      </c>
      <c r="D161" s="0" t="n">
        <v>40</v>
      </c>
      <c r="E161" s="0" t="n">
        <v>85.03</v>
      </c>
    </row>
    <row r="162" customFormat="false" ht="12.8" hidden="false" customHeight="false" outlineLevel="0" collapsed="false">
      <c r="A162" s="0" t="n">
        <v>160</v>
      </c>
      <c r="B162" s="0" t="s">
        <v>153</v>
      </c>
      <c r="C162" s="0" t="s">
        <v>443</v>
      </c>
      <c r="D162" s="0" t="n">
        <v>40</v>
      </c>
      <c r="E162" s="0" t="n">
        <v>257.41</v>
      </c>
    </row>
    <row r="163" customFormat="false" ht="12.8" hidden="false" customHeight="false" outlineLevel="0" collapsed="false">
      <c r="A163" s="0" t="n">
        <v>161</v>
      </c>
      <c r="B163" s="0" t="s">
        <v>154</v>
      </c>
      <c r="C163" s="0" t="s">
        <v>444</v>
      </c>
      <c r="D163" s="0" t="n">
        <v>40</v>
      </c>
      <c r="E163" s="0" t="n">
        <v>222.76</v>
      </c>
    </row>
    <row r="164" customFormat="false" ht="12.8" hidden="false" customHeight="false" outlineLevel="0" collapsed="false">
      <c r="A164" s="0" t="n">
        <v>162</v>
      </c>
      <c r="B164" s="0" t="s">
        <v>155</v>
      </c>
      <c r="C164" s="0" t="s">
        <v>445</v>
      </c>
      <c r="D164" s="0" t="n">
        <v>40</v>
      </c>
      <c r="E164" s="0" t="n">
        <v>73.09</v>
      </c>
    </row>
    <row r="165" customFormat="false" ht="12.8" hidden="false" customHeight="false" outlineLevel="0" collapsed="false">
      <c r="A165" s="0" t="n">
        <v>163</v>
      </c>
      <c r="B165" s="0" t="s">
        <v>156</v>
      </c>
      <c r="C165" s="0" t="s">
        <v>446</v>
      </c>
      <c r="D165" s="0" t="n">
        <v>40</v>
      </c>
      <c r="E165" s="0" t="n">
        <v>54.51</v>
      </c>
    </row>
    <row r="166" customFormat="false" ht="12.8" hidden="false" customHeight="false" outlineLevel="0" collapsed="false">
      <c r="A166" s="0" t="n">
        <v>164</v>
      </c>
      <c r="B166" s="0" t="s">
        <v>157</v>
      </c>
      <c r="C166" s="0" t="s">
        <v>447</v>
      </c>
      <c r="D166" s="0" t="n">
        <v>40</v>
      </c>
      <c r="E166" s="0" t="n">
        <v>104</v>
      </c>
    </row>
    <row r="167" customFormat="false" ht="12.8" hidden="false" customHeight="false" outlineLevel="0" collapsed="false">
      <c r="A167" s="0" t="n">
        <v>165</v>
      </c>
      <c r="B167" s="0" t="s">
        <v>158</v>
      </c>
      <c r="C167" s="0" t="s">
        <v>448</v>
      </c>
      <c r="D167" s="0" t="n">
        <v>40</v>
      </c>
      <c r="E167" s="0" t="n">
        <v>52.36</v>
      </c>
    </row>
    <row r="168" customFormat="false" ht="12.8" hidden="false" customHeight="false" outlineLevel="0" collapsed="false">
      <c r="A168" s="0" t="n">
        <v>166</v>
      </c>
      <c r="B168" s="0" t="s">
        <v>159</v>
      </c>
      <c r="C168" s="0" t="s">
        <v>449</v>
      </c>
      <c r="D168" s="0" t="n">
        <v>40</v>
      </c>
      <c r="E168" s="0" t="n">
        <v>138.79</v>
      </c>
    </row>
    <row r="169" customFormat="false" ht="12.8" hidden="false" customHeight="false" outlineLevel="0" collapsed="false">
      <c r="A169" s="0" t="n">
        <v>167</v>
      </c>
      <c r="B169" s="0" t="s">
        <v>165</v>
      </c>
      <c r="C169" s="0" t="s">
        <v>450</v>
      </c>
      <c r="D169" s="0" t="n">
        <v>40</v>
      </c>
      <c r="E169" s="0" t="n">
        <v>83.23</v>
      </c>
    </row>
    <row r="170" customFormat="false" ht="12.8" hidden="false" customHeight="false" outlineLevel="0" collapsed="false">
      <c r="A170" s="0" t="n">
        <v>168</v>
      </c>
      <c r="B170" s="0" t="s">
        <v>160</v>
      </c>
      <c r="C170" s="0" t="s">
        <v>451</v>
      </c>
      <c r="D170" s="0" t="n">
        <v>40</v>
      </c>
      <c r="E170" s="0" t="n">
        <v>88.37</v>
      </c>
    </row>
    <row r="171" customFormat="false" ht="12.8" hidden="false" customHeight="false" outlineLevel="0" collapsed="false">
      <c r="A171" s="0" t="n">
        <v>169</v>
      </c>
      <c r="B171" s="0" t="s">
        <v>452</v>
      </c>
      <c r="C171" s="0" t="s">
        <v>453</v>
      </c>
      <c r="D171" s="0" t="n">
        <v>40</v>
      </c>
      <c r="E171" s="0" t="n">
        <v>158.91</v>
      </c>
    </row>
    <row r="172" customFormat="false" ht="12.8" hidden="false" customHeight="false" outlineLevel="0" collapsed="false">
      <c r="A172" s="0" t="n">
        <v>170</v>
      </c>
      <c r="B172" s="0" t="s">
        <v>162</v>
      </c>
      <c r="C172" s="0" t="s">
        <v>454</v>
      </c>
      <c r="D172" s="0" t="n">
        <v>40</v>
      </c>
      <c r="E172" s="0" t="n">
        <v>76.22</v>
      </c>
    </row>
    <row r="173" customFormat="false" ht="12.8" hidden="false" customHeight="false" outlineLevel="0" collapsed="false">
      <c r="A173" s="0" t="n">
        <v>171</v>
      </c>
      <c r="B173" s="0" t="s">
        <v>163</v>
      </c>
      <c r="C173" s="0" t="s">
        <v>455</v>
      </c>
      <c r="D173" s="0" t="n">
        <v>40</v>
      </c>
      <c r="E173" s="0" t="n">
        <v>81.58</v>
      </c>
    </row>
    <row r="174" customFormat="false" ht="12.8" hidden="false" customHeight="false" outlineLevel="0" collapsed="false">
      <c r="A174" s="0" t="n">
        <v>172</v>
      </c>
      <c r="B174" s="0" t="s">
        <v>164</v>
      </c>
      <c r="C174" s="0" t="s">
        <v>456</v>
      </c>
      <c r="D174" s="0" t="n">
        <v>40</v>
      </c>
      <c r="E174" s="0" t="n">
        <v>139.81</v>
      </c>
    </row>
    <row r="175" customFormat="false" ht="12.8" hidden="false" customHeight="false" outlineLevel="0" collapsed="false">
      <c r="A175" s="0" t="n">
        <v>173</v>
      </c>
      <c r="B175" s="0" t="s">
        <v>197</v>
      </c>
      <c r="C175" s="0" t="s">
        <v>457</v>
      </c>
      <c r="D175" s="0" t="n">
        <v>40</v>
      </c>
      <c r="E175" s="0" t="n">
        <v>140.28</v>
      </c>
    </row>
    <row r="176" customFormat="false" ht="12.8" hidden="false" customHeight="false" outlineLevel="0" collapsed="false">
      <c r="A176" s="0" t="n">
        <v>174</v>
      </c>
      <c r="B176" s="0" t="s">
        <v>49</v>
      </c>
      <c r="C176" s="0" t="s">
        <v>458</v>
      </c>
      <c r="D176" s="0" t="n">
        <v>40</v>
      </c>
      <c r="E176" s="0" t="n">
        <v>104.77</v>
      </c>
    </row>
    <row r="177" customFormat="false" ht="12.8" hidden="false" customHeight="false" outlineLevel="0" collapsed="false">
      <c r="A177" s="0" t="n">
        <v>175</v>
      </c>
      <c r="B177" s="0" t="s">
        <v>214</v>
      </c>
      <c r="C177" s="0" t="s">
        <v>459</v>
      </c>
      <c r="D177" s="0" t="n">
        <v>40</v>
      </c>
      <c r="E177" s="0" t="n">
        <v>246.85</v>
      </c>
    </row>
    <row r="178" customFormat="false" ht="12.8" hidden="false" customHeight="false" outlineLevel="0" collapsed="false">
      <c r="A178" s="0" t="n">
        <v>176</v>
      </c>
      <c r="B178" s="0" t="s">
        <v>460</v>
      </c>
      <c r="C178" s="0" t="s">
        <v>461</v>
      </c>
      <c r="D178" s="0" t="n">
        <v>40</v>
      </c>
      <c r="E178" s="0" t="n">
        <v>70.89</v>
      </c>
    </row>
    <row r="179" customFormat="false" ht="12.8" hidden="false" customHeight="false" outlineLevel="0" collapsed="false">
      <c r="A179" s="0" t="n">
        <v>177</v>
      </c>
      <c r="B179" s="0" t="s">
        <v>168</v>
      </c>
      <c r="C179" s="0" t="s">
        <v>462</v>
      </c>
      <c r="D179" s="0" t="n">
        <v>40</v>
      </c>
      <c r="E179" s="0" t="n">
        <v>259.12</v>
      </c>
    </row>
    <row r="180" customFormat="false" ht="12.8" hidden="false" customHeight="false" outlineLevel="0" collapsed="false">
      <c r="A180" s="0" t="n">
        <v>178</v>
      </c>
      <c r="B180" s="0" t="s">
        <v>26</v>
      </c>
      <c r="C180" s="0" t="s">
        <v>463</v>
      </c>
      <c r="D180" s="0" t="n">
        <v>40</v>
      </c>
      <c r="E180" s="0" t="n">
        <v>58.95</v>
      </c>
    </row>
    <row r="181" customFormat="false" ht="12.8" hidden="false" customHeight="false" outlineLevel="0" collapsed="false">
      <c r="A181" s="0" t="n">
        <v>179</v>
      </c>
      <c r="B181" s="0" t="s">
        <v>169</v>
      </c>
      <c r="C181" s="0" t="s">
        <v>464</v>
      </c>
      <c r="D181" s="0" t="n">
        <v>40</v>
      </c>
      <c r="E181" s="0" t="n">
        <v>194.28</v>
      </c>
    </row>
    <row r="182" customFormat="false" ht="12.8" hidden="false" customHeight="false" outlineLevel="0" collapsed="false">
      <c r="A182" s="0" t="n">
        <v>180</v>
      </c>
      <c r="B182" s="0" t="s">
        <v>170</v>
      </c>
      <c r="C182" s="0" t="s">
        <v>465</v>
      </c>
      <c r="D182" s="0" t="n">
        <v>40</v>
      </c>
      <c r="E182" s="0" t="n">
        <v>73.44</v>
      </c>
    </row>
    <row r="183" customFormat="false" ht="12.8" hidden="false" customHeight="false" outlineLevel="0" collapsed="false">
      <c r="A183" s="0" t="n">
        <v>181</v>
      </c>
      <c r="B183" s="0" t="s">
        <v>217</v>
      </c>
      <c r="C183" s="0" t="s">
        <v>466</v>
      </c>
      <c r="D183" s="0" t="n">
        <v>40</v>
      </c>
      <c r="E183" s="0" t="n">
        <v>113.3</v>
      </c>
    </row>
    <row r="184" customFormat="false" ht="12.8" hidden="false" customHeight="false" outlineLevel="0" collapsed="false">
      <c r="A184" s="0" t="n">
        <v>182</v>
      </c>
      <c r="B184" s="0" t="s">
        <v>229</v>
      </c>
      <c r="C184" s="0" t="s">
        <v>467</v>
      </c>
      <c r="D184" s="0" t="n">
        <v>40</v>
      </c>
      <c r="E184" s="0" t="n">
        <v>174.99</v>
      </c>
    </row>
    <row r="185" customFormat="false" ht="12.8" hidden="false" customHeight="false" outlineLevel="0" collapsed="false">
      <c r="A185" s="0" t="n">
        <v>183</v>
      </c>
      <c r="B185" s="0" t="s">
        <v>174</v>
      </c>
      <c r="C185" s="0" t="s">
        <v>468</v>
      </c>
      <c r="D185" s="0" t="n">
        <v>40</v>
      </c>
      <c r="E185" s="0" t="n">
        <v>39.73</v>
      </c>
    </row>
    <row r="186" customFormat="false" ht="12.8" hidden="false" customHeight="false" outlineLevel="0" collapsed="false">
      <c r="A186" s="0" t="n">
        <v>184</v>
      </c>
      <c r="B186" s="0" t="s">
        <v>175</v>
      </c>
      <c r="C186" s="0" t="s">
        <v>469</v>
      </c>
      <c r="D186" s="0" t="n">
        <v>40</v>
      </c>
      <c r="E186" s="0" t="n">
        <v>83.92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.38"/>
    <col collapsed="false" customWidth="true" hidden="false" outlineLevel="0" max="2" min="2" style="0" width="31.27"/>
    <col collapsed="false" customWidth="true" hidden="false" outlineLevel="0" max="3" min="3" style="0" width="11.77"/>
    <col collapsed="false" customWidth="true" hidden="false" outlineLevel="0" max="4" min="4" style="0" width="8.95"/>
    <col collapsed="false" customWidth="true" hidden="false" outlineLevel="0" max="5" min="5" style="0" width="28.98"/>
  </cols>
  <sheetData>
    <row r="1" customFormat="false" ht="12.8" hidden="false" customHeight="false" outlineLevel="0" collapsed="false">
      <c r="B1" s="0" t="s">
        <v>262</v>
      </c>
      <c r="C1" s="0" t="s">
        <v>263</v>
      </c>
      <c r="D1" s="0" t="s">
        <v>264</v>
      </c>
      <c r="E1" s="0" t="s">
        <v>470</v>
      </c>
    </row>
    <row r="2" customFormat="false" ht="12.8" hidden="false" customHeight="false" outlineLevel="0" collapsed="false">
      <c r="A2" s="0" t="n">
        <v>0</v>
      </c>
      <c r="B2" s="0" t="s">
        <v>2</v>
      </c>
      <c r="C2" s="0" t="s">
        <v>266</v>
      </c>
      <c r="D2" s="0" t="n">
        <v>15</v>
      </c>
      <c r="E2" s="0" t="n">
        <v>3.9</v>
      </c>
    </row>
    <row r="3" customFormat="false" ht="12.8" hidden="false" customHeight="false" outlineLevel="0" collapsed="false">
      <c r="A3" s="0" t="n">
        <v>1</v>
      </c>
      <c r="B3" s="0" t="s">
        <v>3</v>
      </c>
      <c r="C3" s="0" t="s">
        <v>267</v>
      </c>
      <c r="D3" s="0" t="n">
        <v>15</v>
      </c>
      <c r="E3" s="0" t="n">
        <v>13.19</v>
      </c>
    </row>
    <row r="4" customFormat="false" ht="12.8" hidden="false" customHeight="false" outlineLevel="0" collapsed="false">
      <c r="A4" s="0" t="n">
        <v>2</v>
      </c>
      <c r="B4" s="0" t="s">
        <v>4</v>
      </c>
      <c r="C4" s="0" t="s">
        <v>268</v>
      </c>
      <c r="D4" s="0" t="n">
        <v>15</v>
      </c>
      <c r="E4" s="0" t="n">
        <v>5.97</v>
      </c>
    </row>
    <row r="5" customFormat="false" ht="12.8" hidden="false" customHeight="false" outlineLevel="0" collapsed="false">
      <c r="A5" s="0" t="n">
        <v>3</v>
      </c>
      <c r="B5" s="0" t="s">
        <v>6</v>
      </c>
      <c r="C5" s="0" t="s">
        <v>269</v>
      </c>
      <c r="D5" s="0" t="n">
        <v>15</v>
      </c>
      <c r="E5" s="0" t="n">
        <v>1.31</v>
      </c>
    </row>
    <row r="6" customFormat="false" ht="12.8" hidden="false" customHeight="false" outlineLevel="0" collapsed="false">
      <c r="A6" s="0" t="n">
        <v>4</v>
      </c>
      <c r="B6" s="0" t="s">
        <v>12</v>
      </c>
      <c r="C6" s="0" t="s">
        <v>270</v>
      </c>
      <c r="D6" s="0" t="n">
        <v>15</v>
      </c>
      <c r="E6" s="0" t="n">
        <v>10.08</v>
      </c>
    </row>
    <row r="7" customFormat="false" ht="12.8" hidden="false" customHeight="false" outlineLevel="0" collapsed="false">
      <c r="A7" s="0" t="n">
        <v>5</v>
      </c>
      <c r="B7" s="0" t="s">
        <v>7</v>
      </c>
      <c r="C7" s="0" t="s">
        <v>271</v>
      </c>
      <c r="D7" s="0" t="n">
        <v>15</v>
      </c>
      <c r="E7" s="0" t="n">
        <v>10.56</v>
      </c>
    </row>
    <row r="8" customFormat="false" ht="12.8" hidden="false" customHeight="false" outlineLevel="0" collapsed="false">
      <c r="A8" s="0" t="n">
        <v>6</v>
      </c>
      <c r="B8" s="0" t="s">
        <v>10</v>
      </c>
      <c r="C8" s="0" t="s">
        <v>272</v>
      </c>
      <c r="D8" s="0" t="n">
        <v>15</v>
      </c>
      <c r="E8" s="0" t="n">
        <v>12.7</v>
      </c>
    </row>
    <row r="9" customFormat="false" ht="12.8" hidden="false" customHeight="false" outlineLevel="0" collapsed="false">
      <c r="A9" s="0" t="n">
        <v>7</v>
      </c>
      <c r="B9" s="0" t="s">
        <v>11</v>
      </c>
      <c r="C9" s="0" t="s">
        <v>273</v>
      </c>
      <c r="D9" s="0" t="n">
        <v>15</v>
      </c>
      <c r="E9" s="0" t="n">
        <v>14.87</v>
      </c>
    </row>
    <row r="10" customFormat="false" ht="12.8" hidden="false" customHeight="false" outlineLevel="0" collapsed="false">
      <c r="A10" s="0" t="n">
        <v>8</v>
      </c>
      <c r="B10" s="0" t="s">
        <v>236</v>
      </c>
      <c r="C10" s="0" t="s">
        <v>274</v>
      </c>
      <c r="D10" s="0" t="n">
        <v>15</v>
      </c>
      <c r="E10" s="0" t="n">
        <v>4.71</v>
      </c>
    </row>
    <row r="11" customFormat="false" ht="12.8" hidden="false" customHeight="false" outlineLevel="0" collapsed="false">
      <c r="A11" s="0" t="n">
        <v>9</v>
      </c>
      <c r="B11" s="0" t="s">
        <v>13</v>
      </c>
      <c r="C11" s="0" t="s">
        <v>275</v>
      </c>
      <c r="D11" s="0" t="n">
        <v>15</v>
      </c>
      <c r="E11" s="0" t="n">
        <v>4.76</v>
      </c>
    </row>
    <row r="12" customFormat="false" ht="12.8" hidden="false" customHeight="false" outlineLevel="0" collapsed="false">
      <c r="A12" s="0" t="n">
        <v>10</v>
      </c>
      <c r="B12" s="0" t="s">
        <v>14</v>
      </c>
      <c r="C12" s="0" t="s">
        <v>276</v>
      </c>
      <c r="D12" s="0" t="n">
        <v>15</v>
      </c>
      <c r="E12" s="0" t="n">
        <v>4.66</v>
      </c>
    </row>
    <row r="13" customFormat="false" ht="12.8" hidden="false" customHeight="false" outlineLevel="0" collapsed="false">
      <c r="A13" s="0" t="n">
        <v>11</v>
      </c>
      <c r="B13" s="0" t="s">
        <v>8</v>
      </c>
      <c r="C13" s="0" t="s">
        <v>277</v>
      </c>
      <c r="D13" s="0" t="n">
        <v>15</v>
      </c>
      <c r="E13" s="0" t="n">
        <v>15.25</v>
      </c>
    </row>
    <row r="14" customFormat="false" ht="12.8" hidden="false" customHeight="false" outlineLevel="0" collapsed="false">
      <c r="A14" s="0" t="n">
        <v>12</v>
      </c>
      <c r="B14" s="0" t="s">
        <v>15</v>
      </c>
      <c r="C14" s="0" t="s">
        <v>278</v>
      </c>
      <c r="D14" s="0" t="n">
        <v>15</v>
      </c>
      <c r="E14" s="0" t="n">
        <v>5.17</v>
      </c>
    </row>
    <row r="15" customFormat="false" ht="12.8" hidden="false" customHeight="false" outlineLevel="0" collapsed="false">
      <c r="A15" s="0" t="n">
        <v>13</v>
      </c>
      <c r="B15" s="0" t="s">
        <v>17</v>
      </c>
      <c r="C15" s="0" t="s">
        <v>279</v>
      </c>
      <c r="D15" s="0" t="n">
        <v>15</v>
      </c>
      <c r="E15" s="0" t="n">
        <v>17.53</v>
      </c>
    </row>
    <row r="16" customFormat="false" ht="12.8" hidden="false" customHeight="false" outlineLevel="0" collapsed="false">
      <c r="A16" s="0" t="n">
        <v>14</v>
      </c>
      <c r="B16" s="0" t="s">
        <v>20</v>
      </c>
      <c r="C16" s="0" t="s">
        <v>280</v>
      </c>
      <c r="D16" s="0" t="n">
        <v>15</v>
      </c>
      <c r="E16" s="0" t="n">
        <v>4.03</v>
      </c>
    </row>
    <row r="17" customFormat="false" ht="12.8" hidden="false" customHeight="false" outlineLevel="0" collapsed="false">
      <c r="A17" s="0" t="n">
        <v>15</v>
      </c>
      <c r="B17" s="0" t="s">
        <v>21</v>
      </c>
      <c r="C17" s="0" t="s">
        <v>281</v>
      </c>
      <c r="D17" s="0" t="n">
        <v>15</v>
      </c>
      <c r="E17" s="0" t="n">
        <v>4.29</v>
      </c>
    </row>
    <row r="18" customFormat="false" ht="12.8" hidden="false" customHeight="false" outlineLevel="0" collapsed="false">
      <c r="A18" s="0" t="n">
        <v>16</v>
      </c>
      <c r="B18" s="0" t="s">
        <v>282</v>
      </c>
      <c r="C18" s="0" t="s">
        <v>283</v>
      </c>
      <c r="D18" s="0" t="n">
        <v>15</v>
      </c>
      <c r="E18" s="0" t="n">
        <v>19.61</v>
      </c>
    </row>
    <row r="19" customFormat="false" ht="12.8" hidden="false" customHeight="false" outlineLevel="0" collapsed="false">
      <c r="A19" s="0" t="n">
        <v>17</v>
      </c>
      <c r="B19" s="0" t="s">
        <v>23</v>
      </c>
      <c r="C19" s="0" t="s">
        <v>284</v>
      </c>
      <c r="D19" s="0" t="n">
        <v>15</v>
      </c>
      <c r="E19" s="0" t="n">
        <v>1.97</v>
      </c>
    </row>
    <row r="20" customFormat="false" ht="12.8" hidden="false" customHeight="false" outlineLevel="0" collapsed="false">
      <c r="A20" s="0" t="n">
        <v>18</v>
      </c>
      <c r="B20" s="0" t="s">
        <v>24</v>
      </c>
      <c r="C20" s="0" t="s">
        <v>285</v>
      </c>
      <c r="D20" s="0" t="n">
        <v>15</v>
      </c>
      <c r="E20" s="0" t="n">
        <v>7.76</v>
      </c>
    </row>
    <row r="21" customFormat="false" ht="12.8" hidden="false" customHeight="false" outlineLevel="0" collapsed="false">
      <c r="A21" s="0" t="n">
        <v>19</v>
      </c>
      <c r="B21" s="0" t="s">
        <v>18</v>
      </c>
      <c r="C21" s="0" t="s">
        <v>286</v>
      </c>
      <c r="D21" s="0" t="n">
        <v>15</v>
      </c>
      <c r="E21" s="0" t="n">
        <v>5.42</v>
      </c>
    </row>
    <row r="22" customFormat="false" ht="12.8" hidden="false" customHeight="false" outlineLevel="0" collapsed="false">
      <c r="A22" s="0" t="n">
        <v>20</v>
      </c>
      <c r="B22" s="0" t="s">
        <v>144</v>
      </c>
      <c r="C22" s="0" t="s">
        <v>287</v>
      </c>
      <c r="D22" s="0" t="n">
        <v>15</v>
      </c>
      <c r="E22" s="0" t="n">
        <v>4.25</v>
      </c>
    </row>
    <row r="23" customFormat="false" ht="12.8" hidden="false" customHeight="false" outlineLevel="0" collapsed="false">
      <c r="A23" s="0" t="n">
        <v>21</v>
      </c>
      <c r="B23" s="0" t="s">
        <v>233</v>
      </c>
      <c r="C23" s="0" t="s">
        <v>288</v>
      </c>
      <c r="D23" s="0" t="n">
        <v>15</v>
      </c>
      <c r="E23" s="0" t="n">
        <v>13.04</v>
      </c>
    </row>
    <row r="24" customFormat="false" ht="12.8" hidden="false" customHeight="false" outlineLevel="0" collapsed="false">
      <c r="A24" s="0" t="n">
        <v>22</v>
      </c>
      <c r="B24" s="0" t="s">
        <v>25</v>
      </c>
      <c r="C24" s="0" t="s">
        <v>289</v>
      </c>
      <c r="D24" s="0" t="n">
        <v>15</v>
      </c>
      <c r="E24" s="0" t="n">
        <v>14.78</v>
      </c>
    </row>
    <row r="25" customFormat="false" ht="12.8" hidden="false" customHeight="false" outlineLevel="0" collapsed="false">
      <c r="A25" s="0" t="n">
        <v>23</v>
      </c>
      <c r="B25" s="0" t="s">
        <v>108</v>
      </c>
      <c r="C25" s="0" t="s">
        <v>290</v>
      </c>
      <c r="D25" s="0" t="n">
        <v>15</v>
      </c>
      <c r="E25" s="0" t="n">
        <v>8.53</v>
      </c>
    </row>
    <row r="26" customFormat="false" ht="12.8" hidden="false" customHeight="false" outlineLevel="0" collapsed="false">
      <c r="A26" s="0" t="n">
        <v>24</v>
      </c>
      <c r="B26" s="0" t="s">
        <v>27</v>
      </c>
      <c r="C26" s="0" t="s">
        <v>291</v>
      </c>
      <c r="D26" s="0" t="n">
        <v>15</v>
      </c>
      <c r="E26" s="0" t="n">
        <v>1.82</v>
      </c>
    </row>
    <row r="27" customFormat="false" ht="12.8" hidden="false" customHeight="false" outlineLevel="0" collapsed="false">
      <c r="A27" s="0" t="n">
        <v>25</v>
      </c>
      <c r="B27" s="0" t="s">
        <v>16</v>
      </c>
      <c r="C27" s="0" t="s">
        <v>292</v>
      </c>
      <c r="D27" s="0" t="n">
        <v>15</v>
      </c>
      <c r="E27" s="0" t="n">
        <v>13.93</v>
      </c>
    </row>
    <row r="28" customFormat="false" ht="12.8" hidden="false" customHeight="false" outlineLevel="0" collapsed="false">
      <c r="A28" s="0" t="n">
        <v>26</v>
      </c>
      <c r="B28" s="0" t="s">
        <v>29</v>
      </c>
      <c r="C28" s="0" t="s">
        <v>293</v>
      </c>
      <c r="D28" s="0" t="n">
        <v>15</v>
      </c>
      <c r="E28" s="0" t="n">
        <v>8.47</v>
      </c>
    </row>
    <row r="29" customFormat="false" ht="12.8" hidden="false" customHeight="false" outlineLevel="0" collapsed="false">
      <c r="A29" s="0" t="n">
        <v>27</v>
      </c>
      <c r="B29" s="0" t="s">
        <v>30</v>
      </c>
      <c r="C29" s="0" t="s">
        <v>294</v>
      </c>
      <c r="D29" s="0" t="n">
        <v>15</v>
      </c>
      <c r="E29" s="0" t="n">
        <v>1.62</v>
      </c>
    </row>
    <row r="30" customFormat="false" ht="12.8" hidden="false" customHeight="false" outlineLevel="0" collapsed="false">
      <c r="A30" s="0" t="n">
        <v>28</v>
      </c>
      <c r="B30" s="0" t="s">
        <v>31</v>
      </c>
      <c r="C30" s="0" t="s">
        <v>295</v>
      </c>
      <c r="D30" s="0" t="n">
        <v>15</v>
      </c>
      <c r="E30" s="0" t="n">
        <v>16.92</v>
      </c>
    </row>
    <row r="31" customFormat="false" ht="12.8" hidden="false" customHeight="false" outlineLevel="0" collapsed="false">
      <c r="A31" s="0" t="n">
        <v>29</v>
      </c>
      <c r="B31" s="0" t="s">
        <v>296</v>
      </c>
      <c r="C31" s="0" t="s">
        <v>297</v>
      </c>
      <c r="D31" s="0" t="n">
        <v>15</v>
      </c>
      <c r="E31" s="0" t="n">
        <v>1.63</v>
      </c>
    </row>
    <row r="32" customFormat="false" ht="12.8" hidden="false" customHeight="false" outlineLevel="0" collapsed="false">
      <c r="A32" s="0" t="n">
        <v>30</v>
      </c>
      <c r="B32" s="0" t="s">
        <v>32</v>
      </c>
      <c r="C32" s="0" t="s">
        <v>298</v>
      </c>
      <c r="D32" s="0" t="n">
        <v>15</v>
      </c>
      <c r="E32" s="0" t="n">
        <v>1.12</v>
      </c>
    </row>
    <row r="33" customFormat="false" ht="12.8" hidden="false" customHeight="false" outlineLevel="0" collapsed="false">
      <c r="A33" s="0" t="n">
        <v>31</v>
      </c>
      <c r="B33" s="0" t="s">
        <v>149</v>
      </c>
      <c r="C33" s="0" t="s">
        <v>299</v>
      </c>
      <c r="D33" s="0" t="n">
        <v>15</v>
      </c>
      <c r="E33" s="0" t="n">
        <v>3.51</v>
      </c>
    </row>
    <row r="34" customFormat="false" ht="12.8" hidden="false" customHeight="false" outlineLevel="0" collapsed="false">
      <c r="A34" s="0" t="n">
        <v>32</v>
      </c>
      <c r="B34" s="0" t="s">
        <v>33</v>
      </c>
      <c r="C34" s="0" t="s">
        <v>300</v>
      </c>
      <c r="D34" s="0" t="n">
        <v>15</v>
      </c>
      <c r="E34" s="0" t="n">
        <v>1.11</v>
      </c>
    </row>
    <row r="35" customFormat="false" ht="12.8" hidden="false" customHeight="false" outlineLevel="0" collapsed="false">
      <c r="A35" s="0" t="n">
        <v>33</v>
      </c>
      <c r="B35" s="0" t="s">
        <v>34</v>
      </c>
      <c r="C35" s="0" t="s">
        <v>301</v>
      </c>
      <c r="D35" s="0" t="n">
        <v>15</v>
      </c>
      <c r="E35" s="0" t="n">
        <v>6.58</v>
      </c>
    </row>
    <row r="36" customFormat="false" ht="12.8" hidden="false" customHeight="false" outlineLevel="0" collapsed="false">
      <c r="A36" s="0" t="n">
        <v>34</v>
      </c>
      <c r="B36" s="0" t="s">
        <v>35</v>
      </c>
      <c r="C36" s="0" t="s">
        <v>302</v>
      </c>
      <c r="D36" s="0" t="n">
        <v>15</v>
      </c>
      <c r="E36" s="0" t="n">
        <v>21.88</v>
      </c>
    </row>
    <row r="37" customFormat="false" ht="12.8" hidden="false" customHeight="false" outlineLevel="0" collapsed="false">
      <c r="A37" s="0" t="n">
        <v>35</v>
      </c>
      <c r="B37" s="0" t="s">
        <v>36</v>
      </c>
      <c r="C37" s="0" t="s">
        <v>303</v>
      </c>
      <c r="D37" s="0" t="n">
        <v>15</v>
      </c>
      <c r="E37" s="0" t="n">
        <v>5.2</v>
      </c>
    </row>
    <row r="38" customFormat="false" ht="12.8" hidden="false" customHeight="false" outlineLevel="0" collapsed="false">
      <c r="A38" s="0" t="n">
        <v>36</v>
      </c>
      <c r="B38" s="0" t="s">
        <v>37</v>
      </c>
      <c r="C38" s="0" t="s">
        <v>304</v>
      </c>
      <c r="D38" s="0" t="n">
        <v>15</v>
      </c>
      <c r="E38" s="0" t="n">
        <v>1.57</v>
      </c>
    </row>
    <row r="39" customFormat="false" ht="12.8" hidden="false" customHeight="false" outlineLevel="0" collapsed="false">
      <c r="A39" s="0" t="n">
        <v>37</v>
      </c>
      <c r="B39" s="0" t="s">
        <v>305</v>
      </c>
      <c r="C39" s="0" t="s">
        <v>306</v>
      </c>
      <c r="D39" s="0" t="n">
        <v>15</v>
      </c>
      <c r="E39" s="0" t="n">
        <v>0.77</v>
      </c>
    </row>
    <row r="40" customFormat="false" ht="12.8" hidden="false" customHeight="false" outlineLevel="0" collapsed="false">
      <c r="A40" s="0" t="n">
        <v>38</v>
      </c>
      <c r="B40" s="0" t="s">
        <v>307</v>
      </c>
      <c r="C40" s="0" t="s">
        <v>308</v>
      </c>
      <c r="D40" s="0" t="n">
        <v>15</v>
      </c>
      <c r="E40" s="0" t="n">
        <v>1.16</v>
      </c>
    </row>
    <row r="41" customFormat="false" ht="12.8" hidden="false" customHeight="false" outlineLevel="0" collapsed="false">
      <c r="A41" s="0" t="n">
        <v>39</v>
      </c>
      <c r="B41" s="0" t="s">
        <v>39</v>
      </c>
      <c r="C41" s="0" t="s">
        <v>309</v>
      </c>
      <c r="D41" s="0" t="n">
        <v>15</v>
      </c>
      <c r="E41" s="0" t="n">
        <v>3.56</v>
      </c>
    </row>
    <row r="42" customFormat="false" ht="12.8" hidden="false" customHeight="false" outlineLevel="0" collapsed="false">
      <c r="A42" s="0" t="n">
        <v>40</v>
      </c>
      <c r="B42" s="0" t="s">
        <v>40</v>
      </c>
      <c r="C42" s="0" t="s">
        <v>310</v>
      </c>
      <c r="D42" s="0" t="n">
        <v>15</v>
      </c>
      <c r="E42" s="0" t="n">
        <v>19.71</v>
      </c>
    </row>
    <row r="43" customFormat="false" ht="12.8" hidden="false" customHeight="false" outlineLevel="0" collapsed="false">
      <c r="A43" s="0" t="n">
        <v>41</v>
      </c>
      <c r="B43" s="0" t="s">
        <v>41</v>
      </c>
      <c r="C43" s="0" t="s">
        <v>311</v>
      </c>
      <c r="D43" s="0" t="n">
        <v>15</v>
      </c>
      <c r="E43" s="0" t="n">
        <v>15.7</v>
      </c>
    </row>
    <row r="44" customFormat="false" ht="12.8" hidden="false" customHeight="false" outlineLevel="0" collapsed="false">
      <c r="A44" s="0" t="n">
        <v>42</v>
      </c>
      <c r="B44" s="0" t="s">
        <v>42</v>
      </c>
      <c r="C44" s="0" t="s">
        <v>312</v>
      </c>
      <c r="D44" s="0" t="n">
        <v>15</v>
      </c>
      <c r="E44" s="0" t="n">
        <v>14.23</v>
      </c>
    </row>
    <row r="45" customFormat="false" ht="12.8" hidden="false" customHeight="false" outlineLevel="0" collapsed="false">
      <c r="A45" s="0" t="n">
        <v>43</v>
      </c>
      <c r="B45" s="0" t="s">
        <v>43</v>
      </c>
      <c r="C45" s="0" t="s">
        <v>313</v>
      </c>
      <c r="D45" s="0" t="n">
        <v>15</v>
      </c>
      <c r="E45" s="0" t="n">
        <v>12.57</v>
      </c>
    </row>
    <row r="46" customFormat="false" ht="12.8" hidden="false" customHeight="false" outlineLevel="0" collapsed="false">
      <c r="A46" s="0" t="n">
        <v>44</v>
      </c>
      <c r="B46" s="0" t="s">
        <v>19</v>
      </c>
      <c r="C46" s="0" t="s">
        <v>314</v>
      </c>
      <c r="D46" s="0" t="n">
        <v>15</v>
      </c>
      <c r="E46" s="0" t="n">
        <v>0.74</v>
      </c>
    </row>
    <row r="47" customFormat="false" ht="12.8" hidden="false" customHeight="false" outlineLevel="0" collapsed="false">
      <c r="A47" s="0" t="n">
        <v>45</v>
      </c>
      <c r="B47" s="0" t="s">
        <v>46</v>
      </c>
      <c r="C47" s="0" t="s">
        <v>315</v>
      </c>
      <c r="D47" s="0" t="n">
        <v>15</v>
      </c>
      <c r="E47" s="0" t="n">
        <v>18.29</v>
      </c>
    </row>
    <row r="48" customFormat="false" ht="12.8" hidden="false" customHeight="false" outlineLevel="0" collapsed="false">
      <c r="A48" s="0" t="n">
        <v>46</v>
      </c>
      <c r="B48" s="0" t="s">
        <v>47</v>
      </c>
      <c r="C48" s="0" t="s">
        <v>316</v>
      </c>
      <c r="D48" s="0" t="n">
        <v>15</v>
      </c>
      <c r="E48" s="0" t="n">
        <v>6.77</v>
      </c>
    </row>
    <row r="49" customFormat="false" ht="12.8" hidden="false" customHeight="false" outlineLevel="0" collapsed="false">
      <c r="A49" s="0" t="n">
        <v>47</v>
      </c>
      <c r="B49" s="0" t="s">
        <v>48</v>
      </c>
      <c r="C49" s="0" t="s">
        <v>317</v>
      </c>
      <c r="D49" s="0" t="n">
        <v>15</v>
      </c>
      <c r="E49" s="0" t="n">
        <v>3.25</v>
      </c>
    </row>
    <row r="50" customFormat="false" ht="12.8" hidden="false" customHeight="false" outlineLevel="0" collapsed="false">
      <c r="A50" s="0" t="n">
        <v>48</v>
      </c>
      <c r="B50" s="0" t="s">
        <v>50</v>
      </c>
      <c r="C50" s="0" t="s">
        <v>318</v>
      </c>
      <c r="D50" s="0" t="n">
        <v>15</v>
      </c>
      <c r="E50" s="0" t="n">
        <v>2.49</v>
      </c>
    </row>
    <row r="51" customFormat="false" ht="12.8" hidden="false" customHeight="false" outlineLevel="0" collapsed="false">
      <c r="A51" s="0" t="n">
        <v>49</v>
      </c>
      <c r="B51" s="0" t="s">
        <v>51</v>
      </c>
      <c r="C51" s="0" t="s">
        <v>319</v>
      </c>
      <c r="D51" s="0" t="n">
        <v>15</v>
      </c>
      <c r="E51" s="0" t="n">
        <v>2.44</v>
      </c>
    </row>
    <row r="52" customFormat="false" ht="12.8" hidden="false" customHeight="false" outlineLevel="0" collapsed="false">
      <c r="A52" s="0" t="n">
        <v>50</v>
      </c>
      <c r="B52" s="0" t="s">
        <v>54</v>
      </c>
      <c r="C52" s="0" t="s">
        <v>320</v>
      </c>
      <c r="D52" s="0" t="n">
        <v>15</v>
      </c>
      <c r="E52" s="0" t="n">
        <v>2.02</v>
      </c>
    </row>
    <row r="53" customFormat="false" ht="12.8" hidden="false" customHeight="false" outlineLevel="0" collapsed="false">
      <c r="A53" s="0" t="n">
        <v>51</v>
      </c>
      <c r="B53" s="0" t="s">
        <v>52</v>
      </c>
      <c r="C53" s="0" t="s">
        <v>321</v>
      </c>
      <c r="D53" s="0" t="n">
        <v>15</v>
      </c>
      <c r="E53" s="0" t="n">
        <v>1.78</v>
      </c>
    </row>
    <row r="54" customFormat="false" ht="12.8" hidden="false" customHeight="false" outlineLevel="0" collapsed="false">
      <c r="A54" s="0" t="n">
        <v>52</v>
      </c>
      <c r="B54" s="0" t="s">
        <v>53</v>
      </c>
      <c r="C54" s="0" t="s">
        <v>322</v>
      </c>
      <c r="D54" s="0" t="n">
        <v>15</v>
      </c>
      <c r="E54" s="0" t="n">
        <v>13.71</v>
      </c>
    </row>
    <row r="55" customFormat="false" ht="12.8" hidden="false" customHeight="false" outlineLevel="0" collapsed="false">
      <c r="A55" s="0" t="n">
        <v>53</v>
      </c>
      <c r="B55" s="0" t="s">
        <v>235</v>
      </c>
      <c r="C55" s="0" t="s">
        <v>323</v>
      </c>
      <c r="D55" s="0" t="n">
        <v>15</v>
      </c>
      <c r="E55" s="0" t="n">
        <v>3.63</v>
      </c>
    </row>
    <row r="56" customFormat="false" ht="12.8" hidden="false" customHeight="false" outlineLevel="0" collapsed="false">
      <c r="A56" s="0" t="n">
        <v>54</v>
      </c>
      <c r="B56" s="0" t="s">
        <v>55</v>
      </c>
      <c r="C56" s="0" t="s">
        <v>324</v>
      </c>
      <c r="D56" s="0" t="n">
        <v>15</v>
      </c>
      <c r="E56" s="0" t="n">
        <v>10.02</v>
      </c>
    </row>
    <row r="57" customFormat="false" ht="12.8" hidden="false" customHeight="false" outlineLevel="0" collapsed="false">
      <c r="A57" s="0" t="n">
        <v>55</v>
      </c>
      <c r="B57" s="0" t="s">
        <v>325</v>
      </c>
      <c r="C57" s="0" t="s">
        <v>326</v>
      </c>
      <c r="D57" s="0" t="n">
        <v>15</v>
      </c>
      <c r="E57" s="0" t="n">
        <v>19.61</v>
      </c>
    </row>
    <row r="58" customFormat="false" ht="12.8" hidden="false" customHeight="false" outlineLevel="0" collapsed="false">
      <c r="A58" s="0" t="n">
        <v>56</v>
      </c>
      <c r="B58" s="0" t="s">
        <v>327</v>
      </c>
      <c r="C58" s="0" t="s">
        <v>328</v>
      </c>
      <c r="D58" s="0" t="n">
        <v>15</v>
      </c>
      <c r="E58" s="0" t="n">
        <v>8.27</v>
      </c>
    </row>
    <row r="59" customFormat="false" ht="12.8" hidden="false" customHeight="false" outlineLevel="0" collapsed="false">
      <c r="A59" s="0" t="n">
        <v>57</v>
      </c>
      <c r="B59" s="0" t="s">
        <v>329</v>
      </c>
      <c r="C59" s="0" t="s">
        <v>330</v>
      </c>
      <c r="D59" s="0" t="n">
        <v>15</v>
      </c>
      <c r="E59" s="0" t="n">
        <v>21.21</v>
      </c>
    </row>
    <row r="60" customFormat="false" ht="12.8" hidden="false" customHeight="false" outlineLevel="0" collapsed="false">
      <c r="A60" s="0" t="n">
        <v>58</v>
      </c>
      <c r="B60" s="0" t="s">
        <v>250</v>
      </c>
      <c r="C60" s="0" t="s">
        <v>331</v>
      </c>
      <c r="D60" s="0" t="n">
        <v>15</v>
      </c>
      <c r="E60" s="0" t="n">
        <v>1.95</v>
      </c>
    </row>
    <row r="61" customFormat="false" ht="12.8" hidden="false" customHeight="false" outlineLevel="0" collapsed="false">
      <c r="A61" s="0" t="n">
        <v>59</v>
      </c>
      <c r="B61" s="0" t="s">
        <v>57</v>
      </c>
      <c r="C61" s="0" t="s">
        <v>332</v>
      </c>
      <c r="D61" s="0" t="n">
        <v>15</v>
      </c>
      <c r="E61" s="0" t="n">
        <v>1.72</v>
      </c>
    </row>
    <row r="62" customFormat="false" ht="12.8" hidden="false" customHeight="false" outlineLevel="0" collapsed="false">
      <c r="A62" s="0" t="n">
        <v>60</v>
      </c>
      <c r="B62" s="0" t="s">
        <v>59</v>
      </c>
      <c r="C62" s="0" t="s">
        <v>333</v>
      </c>
      <c r="D62" s="0" t="n">
        <v>15</v>
      </c>
      <c r="E62" s="0" t="n">
        <v>11.71</v>
      </c>
    </row>
    <row r="63" customFormat="false" ht="12.8" hidden="false" customHeight="false" outlineLevel="0" collapsed="false">
      <c r="A63" s="0" t="n">
        <v>61</v>
      </c>
      <c r="B63" s="0" t="s">
        <v>334</v>
      </c>
      <c r="C63" s="0" t="s">
        <v>335</v>
      </c>
      <c r="D63" s="0" t="n">
        <v>15</v>
      </c>
      <c r="E63" s="0" t="n">
        <v>2.66</v>
      </c>
    </row>
    <row r="64" customFormat="false" ht="12.8" hidden="false" customHeight="false" outlineLevel="0" collapsed="false">
      <c r="A64" s="0" t="n">
        <v>62</v>
      </c>
      <c r="B64" s="0" t="s">
        <v>336</v>
      </c>
      <c r="C64" s="0" t="s">
        <v>337</v>
      </c>
      <c r="D64" s="0" t="n">
        <v>15</v>
      </c>
      <c r="E64" s="0" t="n">
        <v>10.53</v>
      </c>
    </row>
    <row r="65" customFormat="false" ht="12.8" hidden="false" customHeight="false" outlineLevel="0" collapsed="false">
      <c r="A65" s="0" t="n">
        <v>63</v>
      </c>
      <c r="B65" s="0" t="s">
        <v>60</v>
      </c>
      <c r="C65" s="0" t="s">
        <v>338</v>
      </c>
      <c r="D65" s="0" t="n">
        <v>15</v>
      </c>
      <c r="E65" s="0" t="n">
        <v>14.99</v>
      </c>
    </row>
    <row r="66" customFormat="false" ht="12.8" hidden="false" customHeight="false" outlineLevel="0" collapsed="false">
      <c r="A66" s="0" t="n">
        <v>64</v>
      </c>
      <c r="B66" s="0" t="s">
        <v>61</v>
      </c>
      <c r="C66" s="0" t="s">
        <v>339</v>
      </c>
      <c r="D66" s="0" t="n">
        <v>15</v>
      </c>
      <c r="E66" s="0" t="n">
        <v>1.4</v>
      </c>
    </row>
    <row r="67" customFormat="false" ht="12.8" hidden="false" customHeight="false" outlineLevel="0" collapsed="false">
      <c r="A67" s="0" t="n">
        <v>65</v>
      </c>
      <c r="B67" s="0" t="s">
        <v>62</v>
      </c>
      <c r="C67" s="0" t="s">
        <v>340</v>
      </c>
      <c r="D67" s="0" t="n">
        <v>15</v>
      </c>
      <c r="E67" s="0" t="n">
        <v>16.4</v>
      </c>
    </row>
    <row r="68" customFormat="false" ht="12.8" hidden="false" customHeight="false" outlineLevel="0" collapsed="false">
      <c r="A68" s="0" t="n">
        <v>66</v>
      </c>
      <c r="B68" s="0" t="s">
        <v>341</v>
      </c>
      <c r="C68" s="0" t="s">
        <v>342</v>
      </c>
      <c r="D68" s="0" t="n">
        <v>15</v>
      </c>
      <c r="E68" s="0" t="n">
        <v>6.37</v>
      </c>
    </row>
    <row r="69" customFormat="false" ht="12.8" hidden="false" customHeight="false" outlineLevel="0" collapsed="false">
      <c r="A69" s="0" t="n">
        <v>67</v>
      </c>
      <c r="B69" s="0" t="s">
        <v>232</v>
      </c>
      <c r="C69" s="0" t="s">
        <v>343</v>
      </c>
      <c r="D69" s="0" t="n">
        <v>15</v>
      </c>
      <c r="E69" s="0" t="n">
        <v>17.1</v>
      </c>
    </row>
    <row r="70" customFormat="false" ht="12.8" hidden="false" customHeight="false" outlineLevel="0" collapsed="false">
      <c r="A70" s="0" t="n">
        <v>68</v>
      </c>
      <c r="B70" s="0" t="s">
        <v>63</v>
      </c>
      <c r="C70" s="0" t="s">
        <v>344</v>
      </c>
      <c r="D70" s="0" t="n">
        <v>15</v>
      </c>
      <c r="E70" s="0" t="n">
        <v>1.98</v>
      </c>
    </row>
    <row r="71" customFormat="false" ht="12.8" hidden="false" customHeight="false" outlineLevel="0" collapsed="false">
      <c r="A71" s="0" t="n">
        <v>69</v>
      </c>
      <c r="B71" s="0" t="s">
        <v>64</v>
      </c>
      <c r="C71" s="0" t="s">
        <v>345</v>
      </c>
      <c r="D71" s="0" t="n">
        <v>15</v>
      </c>
      <c r="E71" s="0" t="n">
        <v>1.88</v>
      </c>
    </row>
    <row r="72" customFormat="false" ht="12.8" hidden="false" customHeight="false" outlineLevel="0" collapsed="false">
      <c r="A72" s="0" t="n">
        <v>70</v>
      </c>
      <c r="B72" s="0" t="s">
        <v>66</v>
      </c>
      <c r="C72" s="0" t="s">
        <v>346</v>
      </c>
      <c r="D72" s="0" t="n">
        <v>15</v>
      </c>
      <c r="E72" s="0" t="n">
        <v>2.46</v>
      </c>
    </row>
    <row r="73" customFormat="false" ht="12.8" hidden="false" customHeight="false" outlineLevel="0" collapsed="false">
      <c r="A73" s="0" t="n">
        <v>71</v>
      </c>
      <c r="B73" s="0" t="s">
        <v>67</v>
      </c>
      <c r="C73" s="0" t="s">
        <v>347</v>
      </c>
      <c r="D73" s="0" t="n">
        <v>15</v>
      </c>
      <c r="E73" s="0" t="n">
        <v>3.29</v>
      </c>
    </row>
    <row r="74" customFormat="false" ht="12.8" hidden="false" customHeight="false" outlineLevel="0" collapsed="false">
      <c r="A74" s="0" t="n">
        <v>72</v>
      </c>
      <c r="B74" s="0" t="s">
        <v>68</v>
      </c>
      <c r="C74" s="0" t="s">
        <v>348</v>
      </c>
      <c r="D74" s="0" t="n">
        <v>15</v>
      </c>
      <c r="E74" s="0" t="n">
        <v>3.56</v>
      </c>
    </row>
    <row r="75" customFormat="false" ht="12.8" hidden="false" customHeight="false" outlineLevel="0" collapsed="false">
      <c r="A75" s="0" t="n">
        <v>73</v>
      </c>
      <c r="B75" s="0" t="s">
        <v>69</v>
      </c>
      <c r="C75" s="0" t="s">
        <v>349</v>
      </c>
      <c r="D75" s="0" t="n">
        <v>15</v>
      </c>
      <c r="E75" s="0" t="n">
        <v>25.8</v>
      </c>
    </row>
    <row r="76" customFormat="false" ht="12.8" hidden="false" customHeight="false" outlineLevel="0" collapsed="false">
      <c r="A76" s="0" t="n">
        <v>74</v>
      </c>
      <c r="B76" s="0" t="s">
        <v>70</v>
      </c>
      <c r="C76" s="0" t="s">
        <v>350</v>
      </c>
      <c r="D76" s="0" t="n">
        <v>15</v>
      </c>
      <c r="E76" s="0" t="n">
        <v>14.46</v>
      </c>
    </row>
    <row r="77" customFormat="false" ht="12.8" hidden="false" customHeight="false" outlineLevel="0" collapsed="false">
      <c r="A77" s="0" t="n">
        <v>75</v>
      </c>
      <c r="B77" s="0" t="s">
        <v>71</v>
      </c>
      <c r="C77" s="0" t="s">
        <v>351</v>
      </c>
      <c r="D77" s="0" t="n">
        <v>15</v>
      </c>
      <c r="E77" s="0" t="n">
        <v>3.09</v>
      </c>
    </row>
    <row r="78" customFormat="false" ht="12.8" hidden="false" customHeight="false" outlineLevel="0" collapsed="false">
      <c r="A78" s="0" t="n">
        <v>76</v>
      </c>
      <c r="B78" s="0" t="s">
        <v>72</v>
      </c>
      <c r="C78" s="0" t="s">
        <v>352</v>
      </c>
      <c r="D78" s="0" t="n">
        <v>15</v>
      </c>
      <c r="E78" s="0" t="n">
        <v>6.81</v>
      </c>
    </row>
    <row r="79" customFormat="false" ht="12.8" hidden="false" customHeight="false" outlineLevel="0" collapsed="false">
      <c r="A79" s="0" t="n">
        <v>77</v>
      </c>
      <c r="B79" s="0" t="s">
        <v>353</v>
      </c>
      <c r="C79" s="0" t="s">
        <v>354</v>
      </c>
      <c r="D79" s="0" t="n">
        <v>15</v>
      </c>
      <c r="E79" s="0" t="n">
        <v>6.45</v>
      </c>
    </row>
    <row r="80" customFormat="false" ht="12.8" hidden="false" customHeight="false" outlineLevel="0" collapsed="false">
      <c r="A80" s="0" t="n">
        <v>78</v>
      </c>
      <c r="B80" s="0" t="s">
        <v>74</v>
      </c>
      <c r="C80" s="0" t="s">
        <v>355</v>
      </c>
      <c r="D80" s="0" t="n">
        <v>15</v>
      </c>
      <c r="E80" s="0" t="n">
        <v>6.42</v>
      </c>
    </row>
    <row r="81" customFormat="false" ht="12.8" hidden="false" customHeight="false" outlineLevel="0" collapsed="false">
      <c r="A81" s="0" t="n">
        <v>79</v>
      </c>
      <c r="B81" s="0" t="s">
        <v>75</v>
      </c>
      <c r="C81" s="0" t="s">
        <v>356</v>
      </c>
      <c r="D81" s="0" t="n">
        <v>15</v>
      </c>
      <c r="E81" s="0" t="n">
        <v>16.6</v>
      </c>
    </row>
    <row r="82" customFormat="false" ht="12.8" hidden="false" customHeight="false" outlineLevel="0" collapsed="false">
      <c r="A82" s="0" t="n">
        <v>80</v>
      </c>
      <c r="B82" s="0" t="s">
        <v>76</v>
      </c>
      <c r="C82" s="0" t="s">
        <v>357</v>
      </c>
      <c r="D82" s="0" t="n">
        <v>15</v>
      </c>
      <c r="E82" s="0" t="n">
        <v>12</v>
      </c>
    </row>
    <row r="83" customFormat="false" ht="12.8" hidden="false" customHeight="false" outlineLevel="0" collapsed="false">
      <c r="A83" s="0" t="n">
        <v>81</v>
      </c>
      <c r="B83" s="0" t="s">
        <v>77</v>
      </c>
      <c r="C83" s="0" t="s">
        <v>358</v>
      </c>
      <c r="D83" s="0" t="n">
        <v>15</v>
      </c>
      <c r="E83" s="0" t="n">
        <v>12.9</v>
      </c>
    </row>
    <row r="84" customFormat="false" ht="12.8" hidden="false" customHeight="false" outlineLevel="0" collapsed="false">
      <c r="A84" s="0" t="n">
        <v>82</v>
      </c>
      <c r="B84" s="0" t="s">
        <v>44</v>
      </c>
      <c r="C84" s="0" t="s">
        <v>359</v>
      </c>
      <c r="D84" s="0" t="n">
        <v>15</v>
      </c>
      <c r="E84" s="0" t="n">
        <v>1.28</v>
      </c>
    </row>
    <row r="85" customFormat="false" ht="12.8" hidden="false" customHeight="false" outlineLevel="0" collapsed="false">
      <c r="A85" s="0" t="n">
        <v>83</v>
      </c>
      <c r="B85" s="0" t="s">
        <v>78</v>
      </c>
      <c r="C85" s="0" t="s">
        <v>360</v>
      </c>
      <c r="D85" s="0" t="n">
        <v>15</v>
      </c>
      <c r="E85" s="0" t="n">
        <v>7.41</v>
      </c>
    </row>
    <row r="86" customFormat="false" ht="12.8" hidden="false" customHeight="false" outlineLevel="0" collapsed="false">
      <c r="A86" s="0" t="n">
        <v>84</v>
      </c>
      <c r="B86" s="0" t="s">
        <v>79</v>
      </c>
      <c r="C86" s="0" t="s">
        <v>361</v>
      </c>
      <c r="D86" s="0" t="n">
        <v>15</v>
      </c>
      <c r="E86" s="0" t="n">
        <v>15.71</v>
      </c>
    </row>
    <row r="87" customFormat="false" ht="12.8" hidden="false" customHeight="false" outlineLevel="0" collapsed="false">
      <c r="A87" s="0" t="n">
        <v>85</v>
      </c>
      <c r="B87" s="0" t="s">
        <v>81</v>
      </c>
      <c r="C87" s="0" t="s">
        <v>362</v>
      </c>
      <c r="D87" s="0" t="n">
        <v>15</v>
      </c>
      <c r="E87" s="0" t="n">
        <v>10.52</v>
      </c>
    </row>
    <row r="88" customFormat="false" ht="12.8" hidden="false" customHeight="false" outlineLevel="0" collapsed="false">
      <c r="A88" s="0" t="n">
        <v>86</v>
      </c>
      <c r="B88" s="0" t="s">
        <v>80</v>
      </c>
      <c r="C88" s="0" t="s">
        <v>363</v>
      </c>
      <c r="D88" s="0" t="n">
        <v>15</v>
      </c>
      <c r="E88" s="0" t="n">
        <v>7.6</v>
      </c>
    </row>
    <row r="89" customFormat="false" ht="12.8" hidden="false" customHeight="false" outlineLevel="0" collapsed="false">
      <c r="A89" s="0" t="n">
        <v>87</v>
      </c>
      <c r="B89" s="0" t="s">
        <v>82</v>
      </c>
      <c r="C89" s="0" t="s">
        <v>364</v>
      </c>
      <c r="D89" s="0" t="n">
        <v>15</v>
      </c>
      <c r="E89" s="0" t="n">
        <v>1.87</v>
      </c>
    </row>
    <row r="90" customFormat="false" ht="12.8" hidden="false" customHeight="false" outlineLevel="0" collapsed="false">
      <c r="A90" s="0" t="n">
        <v>88</v>
      </c>
      <c r="B90" s="0" t="s">
        <v>365</v>
      </c>
      <c r="C90" s="0" t="s">
        <v>366</v>
      </c>
      <c r="D90" s="0" t="n">
        <v>15</v>
      </c>
      <c r="E90" s="0" t="n">
        <v>20.62</v>
      </c>
    </row>
    <row r="91" customFormat="false" ht="12.8" hidden="false" customHeight="false" outlineLevel="0" collapsed="false">
      <c r="A91" s="0" t="n">
        <v>89</v>
      </c>
      <c r="B91" s="0" t="s">
        <v>367</v>
      </c>
      <c r="C91" s="0" t="s">
        <v>368</v>
      </c>
      <c r="D91" s="0" t="n">
        <v>15</v>
      </c>
      <c r="E91" s="0" t="n">
        <v>13.67</v>
      </c>
    </row>
    <row r="92" customFormat="false" ht="12.8" hidden="false" customHeight="false" outlineLevel="0" collapsed="false">
      <c r="A92" s="0" t="n">
        <v>90</v>
      </c>
      <c r="B92" s="0" t="s">
        <v>84</v>
      </c>
      <c r="C92" s="0" t="s">
        <v>369</v>
      </c>
      <c r="D92" s="0" t="n">
        <v>15</v>
      </c>
      <c r="E92" s="0" t="n">
        <v>3.27</v>
      </c>
    </row>
    <row r="93" customFormat="false" ht="12.8" hidden="false" customHeight="false" outlineLevel="0" collapsed="false">
      <c r="A93" s="0" t="n">
        <v>91</v>
      </c>
      <c r="B93" s="0" t="s">
        <v>85</v>
      </c>
      <c r="C93" s="0" t="s">
        <v>370</v>
      </c>
      <c r="D93" s="0" t="n">
        <v>15</v>
      </c>
      <c r="E93" s="0" t="n">
        <v>7.47</v>
      </c>
    </row>
    <row r="94" customFormat="false" ht="12.8" hidden="false" customHeight="false" outlineLevel="0" collapsed="false">
      <c r="A94" s="0" t="n">
        <v>92</v>
      </c>
      <c r="B94" s="0" t="s">
        <v>86</v>
      </c>
      <c r="C94" s="0" t="s">
        <v>371</v>
      </c>
      <c r="D94" s="0" t="n">
        <v>15</v>
      </c>
      <c r="E94" s="0" t="n">
        <v>9.46</v>
      </c>
    </row>
    <row r="95" customFormat="false" ht="12.8" hidden="false" customHeight="false" outlineLevel="0" collapsed="false">
      <c r="A95" s="0" t="n">
        <v>93</v>
      </c>
      <c r="B95" s="0" t="s">
        <v>88</v>
      </c>
      <c r="C95" s="0" t="s">
        <v>372</v>
      </c>
      <c r="D95" s="0" t="n">
        <v>15</v>
      </c>
      <c r="E95" s="0" t="n">
        <v>10.56</v>
      </c>
    </row>
    <row r="96" customFormat="false" ht="12.8" hidden="false" customHeight="false" outlineLevel="0" collapsed="false">
      <c r="A96" s="0" t="n">
        <v>94</v>
      </c>
      <c r="B96" s="0" t="s">
        <v>89</v>
      </c>
      <c r="C96" s="0" t="s">
        <v>373</v>
      </c>
      <c r="D96" s="0" t="n">
        <v>15</v>
      </c>
      <c r="E96" s="0" t="n">
        <v>2.32</v>
      </c>
    </row>
    <row r="97" customFormat="false" ht="12.8" hidden="false" customHeight="false" outlineLevel="0" collapsed="false">
      <c r="A97" s="0" t="n">
        <v>95</v>
      </c>
      <c r="B97" s="0" t="s">
        <v>87</v>
      </c>
      <c r="C97" s="0" t="s">
        <v>374</v>
      </c>
      <c r="D97" s="0" t="n">
        <v>15</v>
      </c>
      <c r="E97" s="0" t="n">
        <v>12.48</v>
      </c>
    </row>
    <row r="98" customFormat="false" ht="12.8" hidden="false" customHeight="false" outlineLevel="0" collapsed="false">
      <c r="A98" s="0" t="n">
        <v>96</v>
      </c>
      <c r="B98" s="0" t="s">
        <v>90</v>
      </c>
      <c r="C98" s="0" t="s">
        <v>375</v>
      </c>
      <c r="D98" s="0" t="n">
        <v>15</v>
      </c>
      <c r="E98" s="0" t="n">
        <v>1.45</v>
      </c>
    </row>
    <row r="99" customFormat="false" ht="12.8" hidden="false" customHeight="false" outlineLevel="0" collapsed="false">
      <c r="A99" s="0" t="n">
        <v>97</v>
      </c>
      <c r="B99" s="0" t="s">
        <v>91</v>
      </c>
      <c r="C99" s="0" t="s">
        <v>376</v>
      </c>
      <c r="D99" s="0" t="n">
        <v>15</v>
      </c>
      <c r="E99" s="0" t="n">
        <v>8.22</v>
      </c>
    </row>
    <row r="100" customFormat="false" ht="12.8" hidden="false" customHeight="false" outlineLevel="0" collapsed="false">
      <c r="A100" s="0" t="n">
        <v>98</v>
      </c>
      <c r="B100" s="0" t="s">
        <v>92</v>
      </c>
      <c r="C100" s="0" t="s">
        <v>377</v>
      </c>
      <c r="D100" s="0" t="n">
        <v>15</v>
      </c>
      <c r="E100" s="0" t="n">
        <v>13</v>
      </c>
    </row>
    <row r="101" customFormat="false" ht="12.8" hidden="false" customHeight="false" outlineLevel="0" collapsed="false">
      <c r="A101" s="0" t="n">
        <v>99</v>
      </c>
      <c r="B101" s="0" t="s">
        <v>93</v>
      </c>
      <c r="C101" s="0" t="s">
        <v>378</v>
      </c>
      <c r="D101" s="0" t="n">
        <v>15</v>
      </c>
      <c r="E101" s="0" t="n">
        <v>13.19</v>
      </c>
    </row>
    <row r="102" customFormat="false" ht="12.8" hidden="false" customHeight="false" outlineLevel="0" collapsed="false">
      <c r="A102" s="0" t="n">
        <v>100</v>
      </c>
      <c r="B102" s="0" t="s">
        <v>94</v>
      </c>
      <c r="C102" s="0" t="s">
        <v>379</v>
      </c>
      <c r="D102" s="0" t="n">
        <v>15</v>
      </c>
      <c r="E102" s="0" t="n">
        <v>1.13</v>
      </c>
    </row>
    <row r="103" customFormat="false" ht="12.8" hidden="false" customHeight="false" outlineLevel="0" collapsed="false">
      <c r="A103" s="0" t="n">
        <v>101</v>
      </c>
      <c r="B103" s="0" t="s">
        <v>95</v>
      </c>
      <c r="C103" s="0" t="s">
        <v>380</v>
      </c>
      <c r="D103" s="0" t="n">
        <v>15</v>
      </c>
      <c r="E103" s="0" t="n">
        <v>0.81</v>
      </c>
    </row>
    <row r="104" customFormat="false" ht="12.8" hidden="false" customHeight="false" outlineLevel="0" collapsed="false">
      <c r="A104" s="0" t="n">
        <v>102</v>
      </c>
      <c r="B104" s="0" t="s">
        <v>96</v>
      </c>
      <c r="C104" s="0" t="s">
        <v>381</v>
      </c>
      <c r="D104" s="0" t="n">
        <v>15</v>
      </c>
      <c r="E104" s="0" t="n">
        <v>8.14</v>
      </c>
    </row>
    <row r="105" customFormat="false" ht="12.8" hidden="false" customHeight="false" outlineLevel="0" collapsed="false">
      <c r="A105" s="0" t="n">
        <v>103</v>
      </c>
      <c r="B105" s="0" t="s">
        <v>97</v>
      </c>
      <c r="C105" s="0" t="s">
        <v>382</v>
      </c>
      <c r="D105" s="0" t="n">
        <v>15</v>
      </c>
      <c r="E105" s="0" t="n">
        <v>6.89</v>
      </c>
    </row>
    <row r="106" customFormat="false" ht="12.8" hidden="false" customHeight="false" outlineLevel="0" collapsed="false">
      <c r="A106" s="0" t="n">
        <v>104</v>
      </c>
      <c r="B106" s="0" t="s">
        <v>98</v>
      </c>
      <c r="C106" s="0" t="s">
        <v>383</v>
      </c>
      <c r="D106" s="0" t="n">
        <v>15</v>
      </c>
      <c r="E106" s="0" t="n">
        <v>1.77</v>
      </c>
    </row>
    <row r="107" customFormat="false" ht="12.8" hidden="false" customHeight="false" outlineLevel="0" collapsed="false">
      <c r="A107" s="0" t="n">
        <v>105</v>
      </c>
      <c r="B107" s="0" t="s">
        <v>99</v>
      </c>
      <c r="C107" s="0" t="s">
        <v>384</v>
      </c>
      <c r="D107" s="0" t="n">
        <v>15</v>
      </c>
      <c r="E107" s="0" t="n">
        <v>9.96</v>
      </c>
    </row>
    <row r="108" customFormat="false" ht="12.8" hidden="false" customHeight="false" outlineLevel="0" collapsed="false">
      <c r="A108" s="0" t="n">
        <v>106</v>
      </c>
      <c r="B108" s="0" t="s">
        <v>385</v>
      </c>
      <c r="C108" s="0" t="s">
        <v>386</v>
      </c>
      <c r="D108" s="0" t="n">
        <v>15</v>
      </c>
      <c r="E108" s="0" t="n">
        <v>5.14</v>
      </c>
    </row>
    <row r="109" customFormat="false" ht="12.8" hidden="false" customHeight="false" outlineLevel="0" collapsed="false">
      <c r="A109" s="0" t="n">
        <v>107</v>
      </c>
      <c r="B109" s="0" t="s">
        <v>100</v>
      </c>
      <c r="C109" s="0" t="s">
        <v>387</v>
      </c>
      <c r="D109" s="0" t="n">
        <v>15</v>
      </c>
      <c r="E109" s="0" t="n">
        <v>1.05</v>
      </c>
    </row>
    <row r="110" customFormat="false" ht="12.8" hidden="false" customHeight="false" outlineLevel="0" collapsed="false">
      <c r="A110" s="0" t="n">
        <v>108</v>
      </c>
      <c r="B110" s="0" t="s">
        <v>101</v>
      </c>
      <c r="C110" s="0" t="s">
        <v>388</v>
      </c>
      <c r="D110" s="0" t="n">
        <v>15</v>
      </c>
      <c r="E110" s="0" t="n">
        <v>4.44</v>
      </c>
    </row>
    <row r="111" customFormat="false" ht="12.8" hidden="false" customHeight="false" outlineLevel="0" collapsed="false">
      <c r="A111" s="0" t="n">
        <v>109</v>
      </c>
      <c r="B111" s="0" t="s">
        <v>102</v>
      </c>
      <c r="C111" s="0" t="s">
        <v>389</v>
      </c>
      <c r="D111" s="0" t="n">
        <v>15</v>
      </c>
      <c r="E111" s="0" t="n">
        <v>2.81</v>
      </c>
    </row>
    <row r="112" customFormat="false" ht="12.8" hidden="false" customHeight="false" outlineLevel="0" collapsed="false">
      <c r="A112" s="0" t="n">
        <v>110</v>
      </c>
      <c r="B112" s="0" t="s">
        <v>104</v>
      </c>
      <c r="C112" s="0" t="s">
        <v>390</v>
      </c>
      <c r="D112" s="0" t="n">
        <v>15</v>
      </c>
      <c r="E112" s="0" t="n">
        <v>9.86</v>
      </c>
    </row>
    <row r="113" customFormat="false" ht="12.8" hidden="false" customHeight="false" outlineLevel="0" collapsed="false">
      <c r="A113" s="0" t="n">
        <v>111</v>
      </c>
      <c r="B113" s="0" t="s">
        <v>129</v>
      </c>
      <c r="C113" s="0" t="s">
        <v>391</v>
      </c>
      <c r="D113" s="0" t="n">
        <v>15</v>
      </c>
      <c r="E113" s="0" t="n">
        <v>12.05</v>
      </c>
    </row>
    <row r="114" customFormat="false" ht="12.8" hidden="false" customHeight="false" outlineLevel="0" collapsed="false">
      <c r="A114" s="0" t="n">
        <v>112</v>
      </c>
      <c r="B114" s="0" t="s">
        <v>105</v>
      </c>
      <c r="C114" s="0" t="s">
        <v>392</v>
      </c>
      <c r="D114" s="0" t="n">
        <v>15</v>
      </c>
      <c r="E114" s="0" t="n">
        <v>19.94</v>
      </c>
    </row>
    <row r="115" customFormat="false" ht="12.8" hidden="false" customHeight="false" outlineLevel="0" collapsed="false">
      <c r="A115" s="0" t="n">
        <v>113</v>
      </c>
      <c r="B115" s="0" t="s">
        <v>106</v>
      </c>
      <c r="C115" s="0" t="s">
        <v>393</v>
      </c>
      <c r="D115" s="0" t="n">
        <v>15</v>
      </c>
      <c r="E115" s="0" t="n">
        <v>10.76</v>
      </c>
    </row>
    <row r="116" customFormat="false" ht="12.8" hidden="false" customHeight="false" outlineLevel="0" collapsed="false">
      <c r="A116" s="0" t="n">
        <v>114</v>
      </c>
      <c r="B116" s="0" t="s">
        <v>107</v>
      </c>
      <c r="C116" s="0" t="s">
        <v>394</v>
      </c>
      <c r="D116" s="0" t="n">
        <v>15</v>
      </c>
      <c r="E116" s="0" t="n">
        <v>0.74</v>
      </c>
    </row>
    <row r="117" customFormat="false" ht="12.8" hidden="false" customHeight="false" outlineLevel="0" collapsed="false">
      <c r="A117" s="0" t="n">
        <v>115</v>
      </c>
      <c r="B117" s="0" t="s">
        <v>117</v>
      </c>
      <c r="C117" s="0" t="s">
        <v>395</v>
      </c>
      <c r="D117" s="0" t="n">
        <v>15</v>
      </c>
      <c r="E117" s="0" t="n">
        <v>2.81</v>
      </c>
    </row>
    <row r="118" customFormat="false" ht="12.8" hidden="false" customHeight="false" outlineLevel="0" collapsed="false">
      <c r="A118" s="0" t="n">
        <v>116</v>
      </c>
      <c r="B118" s="0" t="s">
        <v>109</v>
      </c>
      <c r="C118" s="0" t="s">
        <v>396</v>
      </c>
      <c r="D118" s="0" t="n">
        <v>15</v>
      </c>
      <c r="E118" s="0" t="n">
        <v>3.02</v>
      </c>
    </row>
    <row r="119" customFormat="false" ht="12.8" hidden="false" customHeight="false" outlineLevel="0" collapsed="false">
      <c r="A119" s="0" t="n">
        <v>117</v>
      </c>
      <c r="B119" s="0" t="s">
        <v>110</v>
      </c>
      <c r="C119" s="0" t="s">
        <v>397</v>
      </c>
      <c r="D119" s="0" t="n">
        <v>15</v>
      </c>
      <c r="E119" s="0" t="n">
        <v>4.83</v>
      </c>
    </row>
    <row r="120" customFormat="false" ht="12.8" hidden="false" customHeight="false" outlineLevel="0" collapsed="false">
      <c r="A120" s="0" t="n">
        <v>118</v>
      </c>
      <c r="B120" s="0" t="s">
        <v>398</v>
      </c>
      <c r="C120" s="0" t="s">
        <v>399</v>
      </c>
      <c r="D120" s="0" t="n">
        <v>15</v>
      </c>
      <c r="E120" s="0" t="n">
        <v>18.82</v>
      </c>
    </row>
    <row r="121" customFormat="false" ht="12.8" hidden="false" customHeight="false" outlineLevel="0" collapsed="false">
      <c r="A121" s="0" t="n">
        <v>119</v>
      </c>
      <c r="B121" s="0" t="s">
        <v>400</v>
      </c>
      <c r="C121" s="0" t="s">
        <v>401</v>
      </c>
      <c r="D121" s="0" t="n">
        <v>15</v>
      </c>
      <c r="E121" s="0" t="n">
        <v>22.85</v>
      </c>
    </row>
    <row r="122" customFormat="false" ht="12.8" hidden="false" customHeight="false" outlineLevel="0" collapsed="false">
      <c r="A122" s="0" t="n">
        <v>120</v>
      </c>
      <c r="B122" s="0" t="s">
        <v>171</v>
      </c>
      <c r="C122" s="0" t="s">
        <v>402</v>
      </c>
      <c r="D122" s="0" t="n">
        <v>15</v>
      </c>
      <c r="E122" s="0" t="n">
        <v>4.95</v>
      </c>
    </row>
    <row r="123" customFormat="false" ht="12.8" hidden="false" customHeight="false" outlineLevel="0" collapsed="false">
      <c r="A123" s="0" t="n">
        <v>121</v>
      </c>
      <c r="B123" s="0" t="s">
        <v>112</v>
      </c>
      <c r="C123" s="0" t="s">
        <v>403</v>
      </c>
      <c r="D123" s="0" t="n">
        <v>15</v>
      </c>
      <c r="E123" s="0" t="n">
        <v>13.2</v>
      </c>
    </row>
    <row r="124" customFormat="false" ht="12.8" hidden="false" customHeight="false" outlineLevel="0" collapsed="false">
      <c r="A124" s="0" t="n">
        <v>122</v>
      </c>
      <c r="B124" s="0" t="s">
        <v>113</v>
      </c>
      <c r="C124" s="0" t="s">
        <v>404</v>
      </c>
      <c r="D124" s="0" t="n">
        <v>15</v>
      </c>
      <c r="E124" s="0" t="n">
        <v>2.88</v>
      </c>
    </row>
    <row r="125" customFormat="false" ht="12.8" hidden="false" customHeight="false" outlineLevel="0" collapsed="false">
      <c r="A125" s="0" t="n">
        <v>123</v>
      </c>
      <c r="B125" s="0" t="s">
        <v>114</v>
      </c>
      <c r="C125" s="0" t="s">
        <v>405</v>
      </c>
      <c r="D125" s="0" t="n">
        <v>15</v>
      </c>
      <c r="E125" s="0" t="n">
        <v>0.5</v>
      </c>
    </row>
    <row r="126" customFormat="false" ht="12.8" hidden="false" customHeight="false" outlineLevel="0" collapsed="false">
      <c r="A126" s="0" t="n">
        <v>124</v>
      </c>
      <c r="B126" s="0" t="s">
        <v>115</v>
      </c>
      <c r="C126" s="0" t="s">
        <v>406</v>
      </c>
      <c r="D126" s="0" t="n">
        <v>15</v>
      </c>
      <c r="E126" s="0" t="n">
        <v>0.92</v>
      </c>
    </row>
    <row r="127" customFormat="false" ht="12.8" hidden="false" customHeight="false" outlineLevel="0" collapsed="false">
      <c r="A127" s="0" t="n">
        <v>125</v>
      </c>
      <c r="B127" s="0" t="s">
        <v>116</v>
      </c>
      <c r="C127" s="0" t="s">
        <v>407</v>
      </c>
      <c r="D127" s="0" t="n">
        <v>15</v>
      </c>
      <c r="E127" s="0" t="n">
        <v>14.73</v>
      </c>
    </row>
    <row r="128" customFormat="false" ht="12.8" hidden="false" customHeight="false" outlineLevel="0" collapsed="false">
      <c r="A128" s="0" t="n">
        <v>126</v>
      </c>
      <c r="B128" s="0" t="s">
        <v>118</v>
      </c>
      <c r="C128" s="0" t="s">
        <v>408</v>
      </c>
      <c r="D128" s="0" t="n">
        <v>15</v>
      </c>
      <c r="E128" s="0" t="n">
        <v>3.08</v>
      </c>
    </row>
    <row r="129" customFormat="false" ht="12.8" hidden="false" customHeight="false" outlineLevel="0" collapsed="false">
      <c r="A129" s="0" t="n">
        <v>127</v>
      </c>
      <c r="B129" s="0" t="s">
        <v>120</v>
      </c>
      <c r="C129" s="0" t="s">
        <v>409</v>
      </c>
      <c r="D129" s="0" t="n">
        <v>15</v>
      </c>
      <c r="E129" s="0" t="n">
        <v>3.27</v>
      </c>
    </row>
    <row r="130" customFormat="false" ht="12.8" hidden="false" customHeight="false" outlineLevel="0" collapsed="false">
      <c r="A130" s="0" t="n">
        <v>128</v>
      </c>
      <c r="B130" s="0" t="s">
        <v>121</v>
      </c>
      <c r="C130" s="0" t="s">
        <v>410</v>
      </c>
      <c r="D130" s="0" t="n">
        <v>15</v>
      </c>
      <c r="E130" s="0" t="n">
        <v>5.69</v>
      </c>
    </row>
    <row r="131" customFormat="false" ht="12.8" hidden="false" customHeight="false" outlineLevel="0" collapsed="false">
      <c r="A131" s="0" t="n">
        <v>129</v>
      </c>
      <c r="B131" s="0" t="s">
        <v>122</v>
      </c>
      <c r="C131" s="0" t="s">
        <v>411</v>
      </c>
      <c r="D131" s="0" t="n">
        <v>15</v>
      </c>
      <c r="E131" s="0" t="n">
        <v>6.53</v>
      </c>
    </row>
    <row r="132" customFormat="false" ht="12.8" hidden="false" customHeight="false" outlineLevel="0" collapsed="false">
      <c r="A132" s="0" t="n">
        <v>130</v>
      </c>
      <c r="B132" s="0" t="s">
        <v>123</v>
      </c>
      <c r="C132" s="0" t="s">
        <v>412</v>
      </c>
      <c r="D132" s="0" t="n">
        <v>15</v>
      </c>
      <c r="E132" s="0" t="n">
        <v>3.61</v>
      </c>
    </row>
    <row r="133" customFormat="false" ht="12.8" hidden="false" customHeight="false" outlineLevel="0" collapsed="false">
      <c r="A133" s="0" t="n">
        <v>131</v>
      </c>
      <c r="B133" s="0" t="s">
        <v>124</v>
      </c>
      <c r="C133" s="0" t="s">
        <v>413</v>
      </c>
      <c r="D133" s="0" t="n">
        <v>15</v>
      </c>
      <c r="E133" s="0" t="n">
        <v>12.75</v>
      </c>
    </row>
    <row r="134" customFormat="false" ht="12.8" hidden="false" customHeight="false" outlineLevel="0" collapsed="false">
      <c r="A134" s="0" t="n">
        <v>132</v>
      </c>
      <c r="B134" s="0" t="s">
        <v>125</v>
      </c>
      <c r="C134" s="0" t="s">
        <v>414</v>
      </c>
      <c r="D134" s="0" t="n">
        <v>15</v>
      </c>
      <c r="E134" s="0" t="n">
        <v>19.47</v>
      </c>
    </row>
    <row r="135" customFormat="false" ht="12.8" hidden="false" customHeight="false" outlineLevel="0" collapsed="false">
      <c r="A135" s="0" t="n">
        <v>133</v>
      </c>
      <c r="B135" s="0" t="s">
        <v>126</v>
      </c>
      <c r="C135" s="0" t="s">
        <v>415</v>
      </c>
      <c r="D135" s="0" t="n">
        <v>15</v>
      </c>
      <c r="E135" s="0" t="n">
        <v>12.77</v>
      </c>
    </row>
    <row r="136" customFormat="false" ht="12.8" hidden="false" customHeight="false" outlineLevel="0" collapsed="false">
      <c r="A136" s="0" t="n">
        <v>134</v>
      </c>
      <c r="B136" s="0" t="s">
        <v>65</v>
      </c>
      <c r="C136" s="0" t="s">
        <v>416</v>
      </c>
      <c r="D136" s="0" t="n">
        <v>15</v>
      </c>
      <c r="E136" s="0" t="n">
        <v>1.53</v>
      </c>
    </row>
    <row r="137" customFormat="false" ht="12.8" hidden="false" customHeight="false" outlineLevel="0" collapsed="false">
      <c r="A137" s="0" t="n">
        <v>135</v>
      </c>
      <c r="B137" s="0" t="s">
        <v>259</v>
      </c>
      <c r="C137" s="0" t="s">
        <v>417</v>
      </c>
      <c r="D137" s="0" t="n">
        <v>15</v>
      </c>
      <c r="E137" s="0" t="n">
        <v>5.39</v>
      </c>
    </row>
    <row r="138" customFormat="false" ht="12.8" hidden="false" customHeight="false" outlineLevel="0" collapsed="false">
      <c r="A138" s="0" t="n">
        <v>136</v>
      </c>
      <c r="B138" s="0" t="s">
        <v>249</v>
      </c>
      <c r="C138" s="0" t="s">
        <v>418</v>
      </c>
      <c r="D138" s="0" t="n">
        <v>15</v>
      </c>
      <c r="E138" s="0" t="n">
        <v>5.43</v>
      </c>
    </row>
    <row r="139" customFormat="false" ht="12.8" hidden="false" customHeight="false" outlineLevel="0" collapsed="false">
      <c r="A139" s="0" t="n">
        <v>137</v>
      </c>
      <c r="B139" s="0" t="s">
        <v>127</v>
      </c>
      <c r="C139" s="0" t="s">
        <v>419</v>
      </c>
      <c r="D139" s="0" t="n">
        <v>15</v>
      </c>
      <c r="E139" s="0" t="n">
        <v>2.77</v>
      </c>
    </row>
    <row r="140" customFormat="false" ht="12.8" hidden="false" customHeight="false" outlineLevel="0" collapsed="false">
      <c r="A140" s="0" t="n">
        <v>138</v>
      </c>
      <c r="B140" s="0" t="s">
        <v>420</v>
      </c>
      <c r="C140" s="0" t="s">
        <v>421</v>
      </c>
      <c r="D140" s="0" t="n">
        <v>15</v>
      </c>
      <c r="E140" s="0" t="n">
        <v>11.59</v>
      </c>
    </row>
    <row r="141" customFormat="false" ht="12.8" hidden="false" customHeight="false" outlineLevel="0" collapsed="false">
      <c r="A141" s="0" t="n">
        <v>139</v>
      </c>
      <c r="B141" s="0" t="s">
        <v>131</v>
      </c>
      <c r="C141" s="0" t="s">
        <v>422</v>
      </c>
      <c r="D141" s="0" t="n">
        <v>15</v>
      </c>
      <c r="E141" s="0" t="n">
        <v>16.42</v>
      </c>
    </row>
    <row r="142" customFormat="false" ht="12.8" hidden="false" customHeight="false" outlineLevel="0" collapsed="false">
      <c r="A142" s="0" t="n">
        <v>140</v>
      </c>
      <c r="B142" s="0" t="s">
        <v>132</v>
      </c>
      <c r="C142" s="0" t="s">
        <v>423</v>
      </c>
      <c r="D142" s="0" t="n">
        <v>15</v>
      </c>
      <c r="E142" s="0" t="n">
        <v>13.98</v>
      </c>
    </row>
    <row r="143" customFormat="false" ht="12.8" hidden="false" customHeight="false" outlineLevel="0" collapsed="false">
      <c r="A143" s="0" t="n">
        <v>141</v>
      </c>
      <c r="B143" s="0" t="s">
        <v>133</v>
      </c>
      <c r="C143" s="0" t="s">
        <v>424</v>
      </c>
      <c r="D143" s="0" t="n">
        <v>15</v>
      </c>
      <c r="E143" s="0" t="n">
        <v>1.57</v>
      </c>
    </row>
    <row r="144" customFormat="false" ht="12.8" hidden="false" customHeight="false" outlineLevel="0" collapsed="false">
      <c r="A144" s="0" t="n">
        <v>142</v>
      </c>
      <c r="B144" s="0" t="s">
        <v>135</v>
      </c>
      <c r="C144" s="0" t="s">
        <v>425</v>
      </c>
      <c r="D144" s="0" t="n">
        <v>15</v>
      </c>
      <c r="E144" s="0" t="n">
        <v>5.38</v>
      </c>
    </row>
    <row r="145" customFormat="false" ht="12.8" hidden="false" customHeight="false" outlineLevel="0" collapsed="false">
      <c r="A145" s="0" t="n">
        <v>143</v>
      </c>
      <c r="B145" s="0" t="s">
        <v>246</v>
      </c>
      <c r="C145" s="0" t="s">
        <v>426</v>
      </c>
      <c r="D145" s="0" t="n">
        <v>15</v>
      </c>
      <c r="E145" s="0" t="n">
        <v>10.47</v>
      </c>
    </row>
    <row r="146" customFormat="false" ht="12.8" hidden="false" customHeight="false" outlineLevel="0" collapsed="false">
      <c r="A146" s="0" t="n">
        <v>144</v>
      </c>
      <c r="B146" s="0" t="s">
        <v>136</v>
      </c>
      <c r="C146" s="0" t="s">
        <v>427</v>
      </c>
      <c r="D146" s="0" t="n">
        <v>15</v>
      </c>
      <c r="E146" s="0" t="n">
        <v>2.31</v>
      </c>
    </row>
    <row r="147" customFormat="false" ht="12.8" hidden="false" customHeight="false" outlineLevel="0" collapsed="false">
      <c r="A147" s="0" t="n">
        <v>145</v>
      </c>
      <c r="B147" s="0" t="s">
        <v>137</v>
      </c>
      <c r="C147" s="0" t="s">
        <v>428</v>
      </c>
      <c r="D147" s="0" t="n">
        <v>15</v>
      </c>
      <c r="E147" s="0" t="n">
        <v>1.54</v>
      </c>
    </row>
    <row r="148" customFormat="false" ht="12.8" hidden="false" customHeight="false" outlineLevel="0" collapsed="false">
      <c r="A148" s="0" t="n">
        <v>146</v>
      </c>
      <c r="B148" s="0" t="s">
        <v>138</v>
      </c>
      <c r="C148" s="0" t="s">
        <v>429</v>
      </c>
      <c r="D148" s="0" t="n">
        <v>15</v>
      </c>
      <c r="E148" s="0" t="n">
        <v>22.02</v>
      </c>
    </row>
    <row r="149" customFormat="false" ht="12.8" hidden="false" customHeight="false" outlineLevel="0" collapsed="false">
      <c r="A149" s="0" t="n">
        <v>147</v>
      </c>
      <c r="B149" s="0" t="s">
        <v>140</v>
      </c>
      <c r="C149" s="0" t="s">
        <v>430</v>
      </c>
      <c r="D149" s="0" t="n">
        <v>15</v>
      </c>
      <c r="E149" s="0" t="n">
        <v>1.06</v>
      </c>
    </row>
    <row r="150" customFormat="false" ht="12.8" hidden="false" customHeight="false" outlineLevel="0" collapsed="false">
      <c r="A150" s="0" t="n">
        <v>148</v>
      </c>
      <c r="B150" s="0" t="s">
        <v>141</v>
      </c>
      <c r="C150" s="0" t="s">
        <v>431</v>
      </c>
      <c r="D150" s="0" t="n">
        <v>15</v>
      </c>
      <c r="E150" s="0" t="n">
        <v>12.52</v>
      </c>
    </row>
    <row r="151" customFormat="false" ht="12.8" hidden="false" customHeight="false" outlineLevel="0" collapsed="false">
      <c r="A151" s="0" t="n">
        <v>149</v>
      </c>
      <c r="B151" s="0" t="s">
        <v>142</v>
      </c>
      <c r="C151" s="0" t="s">
        <v>432</v>
      </c>
      <c r="D151" s="0" t="n">
        <v>15</v>
      </c>
      <c r="E151" s="0" t="n">
        <v>11.88</v>
      </c>
    </row>
    <row r="152" customFormat="false" ht="12.8" hidden="false" customHeight="false" outlineLevel="0" collapsed="false">
      <c r="A152" s="0" t="n">
        <v>150</v>
      </c>
      <c r="B152" s="0" t="s">
        <v>173</v>
      </c>
      <c r="C152" s="0" t="s">
        <v>433</v>
      </c>
      <c r="D152" s="0" t="n">
        <v>15</v>
      </c>
      <c r="E152" s="0" t="n">
        <v>11.03</v>
      </c>
    </row>
    <row r="153" customFormat="false" ht="12.8" hidden="false" customHeight="false" outlineLevel="0" collapsed="false">
      <c r="A153" s="0" t="n">
        <v>151</v>
      </c>
      <c r="B153" s="0" t="s">
        <v>143</v>
      </c>
      <c r="C153" s="0" t="s">
        <v>434</v>
      </c>
      <c r="D153" s="0" t="n">
        <v>15</v>
      </c>
      <c r="E153" s="0" t="n">
        <v>18.31</v>
      </c>
    </row>
    <row r="154" customFormat="false" ht="12.8" hidden="false" customHeight="false" outlineLevel="0" collapsed="false">
      <c r="A154" s="0" t="n">
        <v>152</v>
      </c>
      <c r="B154" s="0" t="s">
        <v>145</v>
      </c>
      <c r="C154" s="0" t="s">
        <v>435</v>
      </c>
      <c r="D154" s="0" t="n">
        <v>15</v>
      </c>
      <c r="E154" s="0" t="n">
        <v>1.88</v>
      </c>
    </row>
    <row r="155" customFormat="false" ht="12.8" hidden="false" customHeight="false" outlineLevel="0" collapsed="false">
      <c r="A155" s="0" t="n">
        <v>153</v>
      </c>
      <c r="B155" s="0" t="s">
        <v>146</v>
      </c>
      <c r="C155" s="0" t="s">
        <v>436</v>
      </c>
      <c r="D155" s="0" t="n">
        <v>15</v>
      </c>
      <c r="E155" s="0" t="n">
        <v>9.58</v>
      </c>
    </row>
    <row r="156" customFormat="false" ht="12.8" hidden="false" customHeight="false" outlineLevel="0" collapsed="false">
      <c r="A156" s="0" t="n">
        <v>154</v>
      </c>
      <c r="B156" s="0" t="s">
        <v>176</v>
      </c>
      <c r="C156" s="0" t="s">
        <v>437</v>
      </c>
      <c r="D156" s="0" t="n">
        <v>15</v>
      </c>
      <c r="E156" s="0" t="n">
        <v>3.06</v>
      </c>
    </row>
    <row r="157" customFormat="false" ht="12.8" hidden="false" customHeight="false" outlineLevel="0" collapsed="false">
      <c r="A157" s="0" t="n">
        <v>155</v>
      </c>
      <c r="B157" s="0" t="s">
        <v>148</v>
      </c>
      <c r="C157" s="0" t="s">
        <v>438</v>
      </c>
      <c r="D157" s="0" t="n">
        <v>15</v>
      </c>
      <c r="E157" s="0" t="n">
        <v>14.84</v>
      </c>
    </row>
    <row r="158" customFormat="false" ht="12.8" hidden="false" customHeight="false" outlineLevel="0" collapsed="false">
      <c r="A158" s="0" t="n">
        <v>156</v>
      </c>
      <c r="B158" s="0" t="s">
        <v>147</v>
      </c>
      <c r="C158" s="0" t="s">
        <v>439</v>
      </c>
      <c r="D158" s="0" t="n">
        <v>15</v>
      </c>
      <c r="E158" s="0" t="n">
        <v>1.12</v>
      </c>
    </row>
    <row r="159" customFormat="false" ht="12.8" hidden="false" customHeight="false" outlineLevel="0" collapsed="false">
      <c r="A159" s="0" t="n">
        <v>157</v>
      </c>
      <c r="B159" s="0" t="s">
        <v>151</v>
      </c>
      <c r="C159" s="0" t="s">
        <v>440</v>
      </c>
      <c r="D159" s="0" t="n">
        <v>15</v>
      </c>
      <c r="E159" s="0" t="n">
        <v>1.33</v>
      </c>
    </row>
    <row r="160" customFormat="false" ht="12.8" hidden="false" customHeight="false" outlineLevel="0" collapsed="false">
      <c r="A160" s="0" t="n">
        <v>158</v>
      </c>
      <c r="B160" s="0" t="s">
        <v>152</v>
      </c>
      <c r="C160" s="0" t="s">
        <v>441</v>
      </c>
      <c r="D160" s="0" t="n">
        <v>15</v>
      </c>
      <c r="E160" s="0" t="n">
        <v>8.8</v>
      </c>
    </row>
    <row r="161" customFormat="false" ht="12.8" hidden="false" customHeight="false" outlineLevel="0" collapsed="false">
      <c r="A161" s="0" t="n">
        <v>159</v>
      </c>
      <c r="B161" s="0" t="s">
        <v>253</v>
      </c>
      <c r="C161" s="0" t="s">
        <v>442</v>
      </c>
      <c r="D161" s="0" t="n">
        <v>15</v>
      </c>
      <c r="E161" s="0" t="n">
        <v>2.75</v>
      </c>
    </row>
    <row r="162" customFormat="false" ht="12.8" hidden="false" customHeight="false" outlineLevel="0" collapsed="false">
      <c r="A162" s="0" t="n">
        <v>160</v>
      </c>
      <c r="B162" s="0" t="s">
        <v>153</v>
      </c>
      <c r="C162" s="0" t="s">
        <v>443</v>
      </c>
      <c r="D162" s="0" t="n">
        <v>15</v>
      </c>
      <c r="E162" s="0" t="n">
        <v>9.35</v>
      </c>
    </row>
    <row r="163" customFormat="false" ht="12.8" hidden="false" customHeight="false" outlineLevel="0" collapsed="false">
      <c r="A163" s="0" t="n">
        <v>161</v>
      </c>
      <c r="B163" s="0" t="s">
        <v>154</v>
      </c>
      <c r="C163" s="0" t="s">
        <v>444</v>
      </c>
      <c r="D163" s="0" t="n">
        <v>15</v>
      </c>
      <c r="E163" s="0" t="n">
        <v>12.81</v>
      </c>
    </row>
    <row r="164" customFormat="false" ht="12.8" hidden="false" customHeight="false" outlineLevel="0" collapsed="false">
      <c r="A164" s="0" t="n">
        <v>162</v>
      </c>
      <c r="B164" s="0" t="s">
        <v>155</v>
      </c>
      <c r="C164" s="0" t="s">
        <v>445</v>
      </c>
      <c r="D164" s="0" t="n">
        <v>15</v>
      </c>
      <c r="E164" s="0" t="n">
        <v>9.44</v>
      </c>
    </row>
    <row r="165" customFormat="false" ht="12.8" hidden="false" customHeight="false" outlineLevel="0" collapsed="false">
      <c r="A165" s="0" t="n">
        <v>163</v>
      </c>
      <c r="B165" s="0" t="s">
        <v>156</v>
      </c>
      <c r="C165" s="0" t="s">
        <v>446</v>
      </c>
      <c r="D165" s="0" t="n">
        <v>15</v>
      </c>
      <c r="E165" s="0" t="n">
        <v>2.92</v>
      </c>
    </row>
    <row r="166" customFormat="false" ht="12.8" hidden="false" customHeight="false" outlineLevel="0" collapsed="false">
      <c r="A166" s="0" t="n">
        <v>164</v>
      </c>
      <c r="B166" s="0" t="s">
        <v>157</v>
      </c>
      <c r="C166" s="0" t="s">
        <v>447</v>
      </c>
      <c r="D166" s="0" t="n">
        <v>15</v>
      </c>
      <c r="E166" s="0" t="n">
        <v>9.72</v>
      </c>
    </row>
    <row r="167" customFormat="false" ht="12.8" hidden="false" customHeight="false" outlineLevel="0" collapsed="false">
      <c r="A167" s="0" t="n">
        <v>165</v>
      </c>
      <c r="B167" s="0" t="s">
        <v>158</v>
      </c>
      <c r="C167" s="0" t="s">
        <v>448</v>
      </c>
      <c r="D167" s="0" t="n">
        <v>15</v>
      </c>
      <c r="E167" s="0" t="n">
        <v>1.01</v>
      </c>
    </row>
    <row r="168" customFormat="false" ht="12.8" hidden="false" customHeight="false" outlineLevel="0" collapsed="false">
      <c r="A168" s="0" t="n">
        <v>166</v>
      </c>
      <c r="B168" s="0" t="s">
        <v>159</v>
      </c>
      <c r="C168" s="0" t="s">
        <v>449</v>
      </c>
      <c r="D168" s="0" t="n">
        <v>15</v>
      </c>
      <c r="E168" s="0" t="n">
        <v>6.2</v>
      </c>
    </row>
    <row r="169" customFormat="false" ht="12.8" hidden="false" customHeight="false" outlineLevel="0" collapsed="false">
      <c r="A169" s="0" t="n">
        <v>167</v>
      </c>
      <c r="B169" s="0" t="s">
        <v>165</v>
      </c>
      <c r="C169" s="0" t="s">
        <v>450</v>
      </c>
      <c r="D169" s="0" t="n">
        <v>15</v>
      </c>
      <c r="E169" s="0" t="n">
        <v>3.16</v>
      </c>
    </row>
    <row r="170" customFormat="false" ht="12.8" hidden="false" customHeight="false" outlineLevel="0" collapsed="false">
      <c r="A170" s="0" t="n">
        <v>168</v>
      </c>
      <c r="B170" s="0" t="s">
        <v>160</v>
      </c>
      <c r="C170" s="0" t="s">
        <v>451</v>
      </c>
      <c r="D170" s="0" t="n">
        <v>15</v>
      </c>
      <c r="E170" s="0" t="n">
        <v>10.76</v>
      </c>
    </row>
    <row r="171" customFormat="false" ht="12.8" hidden="false" customHeight="false" outlineLevel="0" collapsed="false">
      <c r="A171" s="0" t="n">
        <v>169</v>
      </c>
      <c r="B171" s="0" t="s">
        <v>452</v>
      </c>
      <c r="C171" s="0" t="s">
        <v>453</v>
      </c>
      <c r="D171" s="0" t="n">
        <v>15</v>
      </c>
      <c r="E171" s="0" t="n">
        <v>20.09</v>
      </c>
    </row>
    <row r="172" customFormat="false" ht="12.8" hidden="false" customHeight="false" outlineLevel="0" collapsed="false">
      <c r="A172" s="0" t="n">
        <v>170</v>
      </c>
      <c r="B172" s="0" t="s">
        <v>162</v>
      </c>
      <c r="C172" s="0" t="s">
        <v>454</v>
      </c>
      <c r="D172" s="0" t="n">
        <v>15</v>
      </c>
      <c r="E172" s="0" t="n">
        <v>5.15</v>
      </c>
    </row>
    <row r="173" customFormat="false" ht="12.8" hidden="false" customHeight="false" outlineLevel="0" collapsed="false">
      <c r="A173" s="0" t="n">
        <v>171</v>
      </c>
      <c r="B173" s="0" t="s">
        <v>163</v>
      </c>
      <c r="C173" s="0" t="s">
        <v>455</v>
      </c>
      <c r="D173" s="0" t="n">
        <v>15</v>
      </c>
      <c r="E173" s="0" t="n">
        <v>1.63</v>
      </c>
    </row>
    <row r="174" customFormat="false" ht="12.8" hidden="false" customHeight="false" outlineLevel="0" collapsed="false">
      <c r="A174" s="0" t="n">
        <v>172</v>
      </c>
      <c r="B174" s="0" t="s">
        <v>164</v>
      </c>
      <c r="C174" s="0" t="s">
        <v>456</v>
      </c>
      <c r="D174" s="0" t="n">
        <v>15</v>
      </c>
      <c r="E174" s="0" t="n">
        <v>11.11</v>
      </c>
    </row>
    <row r="175" customFormat="false" ht="12.8" hidden="false" customHeight="false" outlineLevel="0" collapsed="false">
      <c r="A175" s="0" t="n">
        <v>173</v>
      </c>
      <c r="B175" s="0" t="s">
        <v>197</v>
      </c>
      <c r="C175" s="0" t="s">
        <v>457</v>
      </c>
      <c r="D175" s="0" t="n">
        <v>15</v>
      </c>
      <c r="E175" s="0" t="n">
        <v>16.77</v>
      </c>
    </row>
    <row r="176" customFormat="false" ht="12.8" hidden="false" customHeight="false" outlineLevel="0" collapsed="false">
      <c r="A176" s="0" t="n">
        <v>174</v>
      </c>
      <c r="B176" s="0" t="s">
        <v>49</v>
      </c>
      <c r="C176" s="0" t="s">
        <v>458</v>
      </c>
      <c r="D176" s="0" t="n">
        <v>15</v>
      </c>
      <c r="E176" s="0" t="n">
        <v>4.65</v>
      </c>
    </row>
    <row r="177" customFormat="false" ht="12.8" hidden="false" customHeight="false" outlineLevel="0" collapsed="false">
      <c r="A177" s="0" t="n">
        <v>175</v>
      </c>
      <c r="B177" s="0" t="s">
        <v>214</v>
      </c>
      <c r="C177" s="0" t="s">
        <v>459</v>
      </c>
      <c r="D177" s="0" t="n">
        <v>15</v>
      </c>
      <c r="E177" s="0" t="n">
        <v>15.82</v>
      </c>
    </row>
    <row r="178" customFormat="false" ht="12.8" hidden="false" customHeight="false" outlineLevel="0" collapsed="false">
      <c r="A178" s="0" t="n">
        <v>176</v>
      </c>
      <c r="B178" s="0" t="s">
        <v>460</v>
      </c>
      <c r="C178" s="0" t="s">
        <v>461</v>
      </c>
      <c r="D178" s="0" t="n">
        <v>15</v>
      </c>
      <c r="E178" s="0" t="n">
        <v>1.39</v>
      </c>
    </row>
    <row r="179" customFormat="false" ht="12.8" hidden="false" customHeight="false" outlineLevel="0" collapsed="false">
      <c r="A179" s="0" t="n">
        <v>177</v>
      </c>
      <c r="B179" s="0" t="s">
        <v>168</v>
      </c>
      <c r="C179" s="0" t="s">
        <v>462</v>
      </c>
      <c r="D179" s="0" t="n">
        <v>15</v>
      </c>
      <c r="E179" s="0" t="n">
        <v>17.05</v>
      </c>
    </row>
    <row r="180" customFormat="false" ht="12.8" hidden="false" customHeight="false" outlineLevel="0" collapsed="false">
      <c r="A180" s="0" t="n">
        <v>178</v>
      </c>
      <c r="B180" s="0" t="s">
        <v>26</v>
      </c>
      <c r="C180" s="0" t="s">
        <v>463</v>
      </c>
      <c r="D180" s="0" t="n">
        <v>15</v>
      </c>
      <c r="E180" s="0" t="n">
        <v>2.03</v>
      </c>
    </row>
    <row r="181" customFormat="false" ht="12.8" hidden="false" customHeight="false" outlineLevel="0" collapsed="false">
      <c r="A181" s="0" t="n">
        <v>179</v>
      </c>
      <c r="B181" s="0" t="s">
        <v>169</v>
      </c>
      <c r="C181" s="0" t="s">
        <v>464</v>
      </c>
      <c r="D181" s="0" t="n">
        <v>15</v>
      </c>
      <c r="E181" s="0" t="n">
        <v>16</v>
      </c>
    </row>
    <row r="182" customFormat="false" ht="12.8" hidden="false" customHeight="false" outlineLevel="0" collapsed="false">
      <c r="A182" s="0" t="n">
        <v>180</v>
      </c>
      <c r="B182" s="0" t="s">
        <v>170</v>
      </c>
      <c r="C182" s="0" t="s">
        <v>465</v>
      </c>
      <c r="D182" s="0" t="n">
        <v>15</v>
      </c>
      <c r="E182" s="0" t="n">
        <v>4.56</v>
      </c>
    </row>
    <row r="183" customFormat="false" ht="12.8" hidden="false" customHeight="false" outlineLevel="0" collapsed="false">
      <c r="A183" s="0" t="n">
        <v>181</v>
      </c>
      <c r="B183" s="0" t="s">
        <v>217</v>
      </c>
      <c r="C183" s="0" t="s">
        <v>466</v>
      </c>
      <c r="D183" s="0" t="n">
        <v>15</v>
      </c>
      <c r="E183" s="0" t="n">
        <v>8.41</v>
      </c>
    </row>
    <row r="184" customFormat="false" ht="12.8" hidden="false" customHeight="false" outlineLevel="0" collapsed="false">
      <c r="A184" s="0" t="n">
        <v>182</v>
      </c>
      <c r="B184" s="0" t="s">
        <v>229</v>
      </c>
      <c r="C184" s="0" t="s">
        <v>467</v>
      </c>
      <c r="D184" s="0" t="n">
        <v>15</v>
      </c>
      <c r="E184" s="0" t="n">
        <v>18.22</v>
      </c>
    </row>
    <row r="185" customFormat="false" ht="12.8" hidden="false" customHeight="false" outlineLevel="0" collapsed="false">
      <c r="A185" s="0" t="n">
        <v>183</v>
      </c>
      <c r="B185" s="0" t="s">
        <v>174</v>
      </c>
      <c r="C185" s="0" t="s">
        <v>468</v>
      </c>
      <c r="D185" s="0" t="n">
        <v>15</v>
      </c>
      <c r="E185" s="0" t="n">
        <v>2.38</v>
      </c>
    </row>
    <row r="186" customFormat="false" ht="12.8" hidden="false" customHeight="false" outlineLevel="0" collapsed="false">
      <c r="A186" s="0" t="n">
        <v>184</v>
      </c>
      <c r="B186" s="0" t="s">
        <v>175</v>
      </c>
      <c r="C186" s="0" t="s">
        <v>469</v>
      </c>
      <c r="D186" s="0" t="n">
        <v>15</v>
      </c>
      <c r="E186" s="0" t="n">
        <v>1.52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.38"/>
    <col collapsed="false" customWidth="true" hidden="false" outlineLevel="0" max="2" min="2" style="0" width="27.64"/>
    <col collapsed="false" customWidth="true" hidden="false" outlineLevel="0" max="3" min="3" style="0" width="19.57"/>
  </cols>
  <sheetData>
    <row r="1" customFormat="false" ht="12.8" hidden="false" customHeight="false" outlineLevel="0" collapsed="false">
      <c r="B1" s="0" t="s">
        <v>471</v>
      </c>
      <c r="C1" s="0" t="s">
        <v>472</v>
      </c>
    </row>
    <row r="2" customFormat="false" ht="12.8" hidden="false" customHeight="false" outlineLevel="0" collapsed="false">
      <c r="B2" s="0" t="s">
        <v>471</v>
      </c>
      <c r="C2" s="0" t="s">
        <v>473</v>
      </c>
    </row>
    <row r="3" customFormat="false" ht="12.8" hidden="false" customHeight="false" outlineLevel="0" collapsed="false">
      <c r="A3" s="0" t="n">
        <v>0</v>
      </c>
      <c r="B3" s="0" t="s">
        <v>189</v>
      </c>
      <c r="C3" s="0" t="n">
        <v>85.51</v>
      </c>
    </row>
    <row r="4" customFormat="false" ht="12.8" hidden="false" customHeight="false" outlineLevel="0" collapsed="false">
      <c r="A4" s="0" t="n">
        <v>1</v>
      </c>
      <c r="B4" s="0" t="s">
        <v>79</v>
      </c>
      <c r="C4" s="0" t="n">
        <v>84.71</v>
      </c>
    </row>
    <row r="5" customFormat="false" ht="12.8" hidden="false" customHeight="false" outlineLevel="0" collapsed="false">
      <c r="A5" s="0" t="n">
        <v>2</v>
      </c>
      <c r="B5" s="0" t="s">
        <v>210</v>
      </c>
      <c r="C5" s="0" t="n">
        <v>84.33</v>
      </c>
    </row>
    <row r="6" customFormat="false" ht="12.8" hidden="false" customHeight="false" outlineLevel="0" collapsed="false">
      <c r="A6" s="0" t="n">
        <v>3</v>
      </c>
      <c r="B6" s="0" t="s">
        <v>329</v>
      </c>
      <c r="C6" s="0" t="n">
        <v>84.07</v>
      </c>
    </row>
    <row r="7" customFormat="false" ht="12.8" hidden="false" customHeight="false" outlineLevel="0" collapsed="false">
      <c r="A7" s="0" t="n">
        <v>4</v>
      </c>
      <c r="B7" s="0" t="s">
        <v>5</v>
      </c>
      <c r="C7" s="0" t="n">
        <v>84.04</v>
      </c>
    </row>
    <row r="8" customFormat="false" ht="12.8" hidden="false" customHeight="false" outlineLevel="0" collapsed="false">
      <c r="A8" s="0" t="n">
        <v>5</v>
      </c>
      <c r="B8" s="0" t="s">
        <v>154</v>
      </c>
      <c r="C8" s="0" t="n">
        <v>83.95</v>
      </c>
    </row>
    <row r="9" customFormat="false" ht="12.8" hidden="false" customHeight="false" outlineLevel="0" collapsed="false">
      <c r="A9" s="0" t="n">
        <v>6</v>
      </c>
      <c r="B9" s="0" t="s">
        <v>10</v>
      </c>
      <c r="C9" s="0" t="n">
        <v>83.92</v>
      </c>
    </row>
    <row r="10" customFormat="false" ht="12.8" hidden="false" customHeight="false" outlineLevel="0" collapsed="false">
      <c r="A10" s="0" t="n">
        <v>7</v>
      </c>
      <c r="B10" s="0" t="s">
        <v>141</v>
      </c>
      <c r="C10" s="0" t="n">
        <v>83.74</v>
      </c>
    </row>
    <row r="11" customFormat="false" ht="12.8" hidden="false" customHeight="false" outlineLevel="0" collapsed="false">
      <c r="A11" s="0" t="n">
        <v>8</v>
      </c>
      <c r="B11" s="0" t="s">
        <v>77</v>
      </c>
      <c r="C11" s="0" t="n">
        <v>83.72</v>
      </c>
    </row>
    <row r="12" customFormat="false" ht="12.8" hidden="false" customHeight="false" outlineLevel="0" collapsed="false">
      <c r="A12" s="0" t="n">
        <v>9</v>
      </c>
      <c r="B12" s="0" t="s">
        <v>148</v>
      </c>
      <c r="C12" s="0" t="n">
        <v>83.67</v>
      </c>
    </row>
    <row r="13" customFormat="false" ht="12.8" hidden="false" customHeight="false" outlineLevel="0" collapsed="false">
      <c r="A13" s="0" t="n">
        <v>10</v>
      </c>
      <c r="B13" s="0" t="s">
        <v>474</v>
      </c>
      <c r="C13" s="0" t="n">
        <v>83.55</v>
      </c>
    </row>
    <row r="14" customFormat="false" ht="12.8" hidden="false" customHeight="false" outlineLevel="0" collapsed="false">
      <c r="A14" s="0" t="n">
        <v>11</v>
      </c>
      <c r="B14" s="0" t="s">
        <v>56</v>
      </c>
      <c r="C14" s="0" t="n">
        <v>83.33</v>
      </c>
    </row>
    <row r="15" customFormat="false" ht="12.8" hidden="false" customHeight="false" outlineLevel="0" collapsed="false">
      <c r="A15" s="0" t="n">
        <v>12</v>
      </c>
      <c r="B15" s="0" t="s">
        <v>116</v>
      </c>
      <c r="C15" s="0" t="n">
        <v>83.31</v>
      </c>
    </row>
    <row r="16" customFormat="false" ht="12.8" hidden="false" customHeight="false" outlineLevel="0" collapsed="false">
      <c r="A16" s="0" t="n">
        <v>13</v>
      </c>
      <c r="B16" s="0" t="s">
        <v>99</v>
      </c>
      <c r="C16" s="0" t="n">
        <v>83.3</v>
      </c>
    </row>
    <row r="17" customFormat="false" ht="12.8" hidden="false" customHeight="false" outlineLevel="0" collapsed="false">
      <c r="A17" s="0" t="n">
        <v>14</v>
      </c>
      <c r="B17" s="0" t="s">
        <v>475</v>
      </c>
      <c r="C17" s="0" t="n">
        <v>83.27</v>
      </c>
    </row>
    <row r="18" customFormat="false" ht="12.8" hidden="false" customHeight="false" outlineLevel="0" collapsed="false">
      <c r="A18" s="0" t="n">
        <v>15</v>
      </c>
      <c r="B18" s="0" t="s">
        <v>153</v>
      </c>
      <c r="C18" s="0" t="n">
        <v>83.26</v>
      </c>
    </row>
    <row r="19" customFormat="false" ht="12.8" hidden="false" customHeight="false" outlineLevel="0" collapsed="false">
      <c r="A19" s="0" t="n">
        <v>16</v>
      </c>
      <c r="B19" s="0" t="s">
        <v>476</v>
      </c>
      <c r="C19" s="0" t="n">
        <v>83.08</v>
      </c>
    </row>
    <row r="20" customFormat="false" ht="12.8" hidden="false" customHeight="false" outlineLevel="0" collapsed="false">
      <c r="A20" s="0" t="n">
        <v>17</v>
      </c>
      <c r="B20" s="0" t="s">
        <v>165</v>
      </c>
      <c r="C20" s="0" t="n">
        <v>82.91</v>
      </c>
    </row>
    <row r="21" customFormat="false" ht="12.8" hidden="false" customHeight="false" outlineLevel="0" collapsed="false">
      <c r="A21" s="0" t="n">
        <v>18</v>
      </c>
      <c r="B21" s="0" t="s">
        <v>70</v>
      </c>
      <c r="C21" s="0" t="n">
        <v>82.69</v>
      </c>
    </row>
    <row r="22" customFormat="false" ht="12.8" hidden="false" customHeight="false" outlineLevel="0" collapsed="false">
      <c r="A22" s="0" t="n">
        <v>19</v>
      </c>
      <c r="B22" s="0" t="s">
        <v>31</v>
      </c>
      <c r="C22" s="0" t="n">
        <v>82.63</v>
      </c>
    </row>
    <row r="23" customFormat="false" ht="12.8" hidden="false" customHeight="false" outlineLevel="0" collapsed="false">
      <c r="A23" s="0" t="n">
        <v>20</v>
      </c>
      <c r="B23" s="0" t="s">
        <v>477</v>
      </c>
      <c r="C23" s="0" t="n">
        <v>82.56</v>
      </c>
    </row>
    <row r="24" customFormat="false" ht="12.8" hidden="false" customHeight="false" outlineLevel="0" collapsed="false">
      <c r="A24" s="0" t="n">
        <v>21</v>
      </c>
      <c r="B24" s="0" t="s">
        <v>76</v>
      </c>
      <c r="C24" s="0" t="n">
        <v>82.41</v>
      </c>
    </row>
    <row r="25" customFormat="false" ht="12.8" hidden="false" customHeight="false" outlineLevel="0" collapsed="false">
      <c r="A25" s="0" t="n">
        <v>22</v>
      </c>
      <c r="B25" s="0" t="s">
        <v>75</v>
      </c>
      <c r="C25" s="0" t="n">
        <v>82.41</v>
      </c>
    </row>
    <row r="26" customFormat="false" ht="12.8" hidden="false" customHeight="false" outlineLevel="0" collapsed="false">
      <c r="A26" s="0" t="n">
        <v>23</v>
      </c>
      <c r="B26" s="0" t="s">
        <v>127</v>
      </c>
      <c r="C26" s="0" t="n">
        <v>82.37</v>
      </c>
    </row>
    <row r="27" customFormat="false" ht="12.8" hidden="false" customHeight="false" outlineLevel="0" collapsed="false">
      <c r="A27" s="0" t="n">
        <v>24</v>
      </c>
      <c r="B27" s="0" t="s">
        <v>126</v>
      </c>
      <c r="C27" s="0" t="n">
        <v>82.36</v>
      </c>
    </row>
    <row r="28" customFormat="false" ht="12.8" hidden="false" customHeight="false" outlineLevel="0" collapsed="false">
      <c r="A28" s="0" t="n">
        <v>25</v>
      </c>
      <c r="B28" s="0" t="s">
        <v>243</v>
      </c>
      <c r="C28" s="0" t="n">
        <v>82.31</v>
      </c>
    </row>
    <row r="29" customFormat="false" ht="12.8" hidden="false" customHeight="false" outlineLevel="0" collapsed="false">
      <c r="A29" s="0" t="n">
        <v>26</v>
      </c>
      <c r="B29" s="0" t="s">
        <v>93</v>
      </c>
      <c r="C29" s="0" t="n">
        <v>82.23</v>
      </c>
    </row>
    <row r="30" customFormat="false" ht="12.8" hidden="false" customHeight="false" outlineLevel="0" collapsed="false">
      <c r="A30" s="0" t="n">
        <v>27</v>
      </c>
      <c r="B30" s="0" t="s">
        <v>111</v>
      </c>
      <c r="C30" s="0" t="n">
        <v>82.16</v>
      </c>
    </row>
    <row r="31" customFormat="false" ht="12.8" hidden="false" customHeight="false" outlineLevel="0" collapsed="false">
      <c r="A31" s="0" t="n">
        <v>28</v>
      </c>
      <c r="B31" s="0" t="s">
        <v>17</v>
      </c>
      <c r="C31" s="0" t="n">
        <v>82.11</v>
      </c>
    </row>
    <row r="32" customFormat="false" ht="12.8" hidden="false" customHeight="false" outlineLevel="0" collapsed="false">
      <c r="A32" s="0" t="n">
        <v>29</v>
      </c>
      <c r="B32" s="0" t="s">
        <v>112</v>
      </c>
      <c r="C32" s="0" t="n">
        <v>82.09</v>
      </c>
    </row>
    <row r="33" customFormat="false" ht="12.8" hidden="false" customHeight="false" outlineLevel="0" collapsed="false">
      <c r="A33" s="0" t="n">
        <v>30</v>
      </c>
      <c r="B33" s="0" t="s">
        <v>478</v>
      </c>
      <c r="C33" s="0" t="n">
        <v>82.05</v>
      </c>
    </row>
    <row r="34" customFormat="false" ht="12.8" hidden="false" customHeight="false" outlineLevel="0" collapsed="false">
      <c r="A34" s="0" t="n">
        <v>31</v>
      </c>
      <c r="B34" s="0" t="s">
        <v>11</v>
      </c>
      <c r="C34" s="0" t="n">
        <v>81.96</v>
      </c>
    </row>
    <row r="35" customFormat="false" ht="12.8" hidden="false" customHeight="false" outlineLevel="0" collapsed="false">
      <c r="A35" s="0" t="n">
        <v>32</v>
      </c>
      <c r="B35" s="0" t="s">
        <v>46</v>
      </c>
      <c r="C35" s="0" t="n">
        <v>81.93</v>
      </c>
    </row>
    <row r="36" customFormat="false" ht="12.8" hidden="false" customHeight="false" outlineLevel="0" collapsed="false">
      <c r="A36" s="0" t="n">
        <v>33</v>
      </c>
      <c r="B36" s="0" t="s">
        <v>55</v>
      </c>
      <c r="C36" s="0" t="n">
        <v>81.91</v>
      </c>
    </row>
    <row r="37" customFormat="false" ht="12.8" hidden="false" customHeight="false" outlineLevel="0" collapsed="false">
      <c r="A37" s="0" t="n">
        <v>34</v>
      </c>
      <c r="B37" s="0" t="s">
        <v>62</v>
      </c>
      <c r="C37" s="0" t="n">
        <v>81.86</v>
      </c>
    </row>
    <row r="38" customFormat="false" ht="12.8" hidden="false" customHeight="false" outlineLevel="0" collapsed="false">
      <c r="A38" s="0" t="n">
        <v>35</v>
      </c>
      <c r="B38" s="0" t="s">
        <v>249</v>
      </c>
      <c r="C38" s="0" t="n">
        <v>81.69</v>
      </c>
    </row>
    <row r="39" customFormat="false" ht="12.8" hidden="false" customHeight="false" outlineLevel="0" collapsed="false">
      <c r="A39" s="0" t="n">
        <v>36</v>
      </c>
      <c r="B39" s="0" t="s">
        <v>42</v>
      </c>
      <c r="C39" s="0" t="n">
        <v>81.65</v>
      </c>
    </row>
    <row r="40" customFormat="false" ht="12.8" hidden="false" customHeight="false" outlineLevel="0" collapsed="false">
      <c r="A40" s="0" t="n">
        <v>37</v>
      </c>
      <c r="B40" s="0" t="s">
        <v>143</v>
      </c>
      <c r="C40" s="0" t="n">
        <v>81.6</v>
      </c>
    </row>
    <row r="41" customFormat="false" ht="12.8" hidden="false" customHeight="false" outlineLevel="0" collapsed="false">
      <c r="A41" s="0" t="n">
        <v>38</v>
      </c>
      <c r="B41" s="0" t="s">
        <v>60</v>
      </c>
      <c r="C41" s="0" t="n">
        <v>81.38</v>
      </c>
    </row>
    <row r="42" customFormat="false" ht="12.8" hidden="false" customHeight="false" outlineLevel="0" collapsed="false">
      <c r="A42" s="0" t="n">
        <v>39</v>
      </c>
      <c r="B42" s="0" t="s">
        <v>214</v>
      </c>
      <c r="C42" s="0" t="n">
        <v>81.3</v>
      </c>
    </row>
    <row r="43" customFormat="false" ht="12.8" hidden="false" customHeight="false" outlineLevel="0" collapsed="false">
      <c r="A43" s="0" t="n">
        <v>40</v>
      </c>
      <c r="B43" s="0" t="s">
        <v>13</v>
      </c>
      <c r="C43" s="0" t="n">
        <v>81.28</v>
      </c>
    </row>
    <row r="44" customFormat="false" ht="12.8" hidden="false" customHeight="false" outlineLevel="0" collapsed="false">
      <c r="A44" s="0" t="n">
        <v>41</v>
      </c>
      <c r="B44" s="0" t="s">
        <v>34</v>
      </c>
      <c r="C44" s="0" t="n">
        <v>81.17</v>
      </c>
    </row>
    <row r="45" customFormat="false" ht="12.8" hidden="false" customHeight="false" outlineLevel="0" collapsed="false">
      <c r="A45" s="0" t="n">
        <v>42</v>
      </c>
      <c r="B45" s="0" t="s">
        <v>97</v>
      </c>
      <c r="C45" s="0" t="n">
        <v>81.04</v>
      </c>
    </row>
    <row r="46" customFormat="false" ht="12.8" hidden="false" customHeight="false" outlineLevel="0" collapsed="false">
      <c r="A46" s="0" t="n">
        <v>43</v>
      </c>
      <c r="B46" s="0" t="s">
        <v>479</v>
      </c>
      <c r="C46" s="0" t="n">
        <v>81</v>
      </c>
    </row>
    <row r="47" customFormat="false" ht="12.8" hidden="false" customHeight="false" outlineLevel="0" collapsed="false">
      <c r="A47" s="0" t="n">
        <v>44</v>
      </c>
      <c r="B47" s="0" t="s">
        <v>39</v>
      </c>
      <c r="C47" s="0" t="n">
        <v>80.8</v>
      </c>
    </row>
    <row r="48" customFormat="false" ht="12.8" hidden="false" customHeight="false" outlineLevel="0" collapsed="false">
      <c r="A48" s="0" t="n">
        <v>45</v>
      </c>
      <c r="B48" s="0" t="s">
        <v>212</v>
      </c>
      <c r="C48" s="0" t="n">
        <v>80.56</v>
      </c>
    </row>
    <row r="49" customFormat="false" ht="12.8" hidden="false" customHeight="false" outlineLevel="0" collapsed="false">
      <c r="A49" s="0" t="n">
        <v>46</v>
      </c>
      <c r="B49" s="0" t="s">
        <v>84</v>
      </c>
      <c r="C49" s="0" t="n">
        <v>80.41</v>
      </c>
    </row>
    <row r="50" customFormat="false" ht="12.8" hidden="false" customHeight="false" outlineLevel="0" collapsed="false">
      <c r="A50" s="0" t="n">
        <v>47</v>
      </c>
      <c r="B50" s="0" t="s">
        <v>480</v>
      </c>
      <c r="C50" s="0" t="n">
        <v>80.36</v>
      </c>
    </row>
    <row r="51" customFormat="false" ht="12.8" hidden="false" customHeight="false" outlineLevel="0" collapsed="false">
      <c r="A51" s="0" t="n">
        <v>48</v>
      </c>
      <c r="B51" s="0" t="s">
        <v>481</v>
      </c>
      <c r="C51" s="0" t="n">
        <v>80.18</v>
      </c>
    </row>
    <row r="52" customFormat="false" ht="12.8" hidden="false" customHeight="false" outlineLevel="0" collapsed="false">
      <c r="A52" s="0" t="n">
        <v>49</v>
      </c>
      <c r="B52" s="0" t="s">
        <v>117</v>
      </c>
      <c r="C52" s="0" t="n">
        <v>80.03</v>
      </c>
    </row>
    <row r="53" customFormat="false" ht="12.8" hidden="false" customHeight="false" outlineLevel="0" collapsed="false">
      <c r="A53" s="0" t="n">
        <v>50</v>
      </c>
      <c r="B53" s="0" t="s">
        <v>482</v>
      </c>
      <c r="C53" s="0" t="n">
        <v>79.83</v>
      </c>
    </row>
    <row r="54" customFormat="false" ht="12.8" hidden="false" customHeight="false" outlineLevel="0" collapsed="false">
      <c r="A54" s="0" t="n">
        <v>51</v>
      </c>
      <c r="B54" s="0" t="s">
        <v>483</v>
      </c>
      <c r="C54" s="0" t="n">
        <v>79.71</v>
      </c>
    </row>
    <row r="55" customFormat="false" ht="12.8" hidden="false" customHeight="false" outlineLevel="0" collapsed="false">
      <c r="A55" s="0" t="n">
        <v>52</v>
      </c>
      <c r="B55" s="0" t="s">
        <v>3</v>
      </c>
      <c r="C55" s="0" t="n">
        <v>79.6</v>
      </c>
    </row>
    <row r="56" customFormat="false" ht="12.8" hidden="false" customHeight="false" outlineLevel="0" collapsed="false">
      <c r="A56" s="0" t="n">
        <v>53</v>
      </c>
      <c r="B56" s="0" t="s">
        <v>120</v>
      </c>
      <c r="C56" s="0" t="n">
        <v>79.59</v>
      </c>
    </row>
    <row r="57" customFormat="false" ht="12.8" hidden="false" customHeight="false" outlineLevel="0" collapsed="false">
      <c r="A57" s="0" t="n">
        <v>54</v>
      </c>
      <c r="B57" s="0" t="s">
        <v>215</v>
      </c>
      <c r="C57" s="0" t="n">
        <v>79.3</v>
      </c>
    </row>
    <row r="58" customFormat="false" ht="12.8" hidden="false" customHeight="false" outlineLevel="0" collapsed="false">
      <c r="A58" s="0" t="n">
        <v>55</v>
      </c>
      <c r="B58" s="0" t="s">
        <v>53</v>
      </c>
      <c r="C58" s="0" t="n">
        <v>79.15</v>
      </c>
    </row>
    <row r="59" customFormat="false" ht="12.8" hidden="false" customHeight="false" outlineLevel="0" collapsed="false">
      <c r="A59" s="0" t="n">
        <v>56</v>
      </c>
      <c r="B59" s="0" t="s">
        <v>400</v>
      </c>
      <c r="C59" s="0" t="n">
        <v>78.77</v>
      </c>
    </row>
    <row r="60" customFormat="false" ht="12.8" hidden="false" customHeight="false" outlineLevel="0" collapsed="false">
      <c r="A60" s="0" t="n">
        <v>57</v>
      </c>
      <c r="B60" s="0" t="s">
        <v>136</v>
      </c>
      <c r="C60" s="0" t="n">
        <v>78.73</v>
      </c>
    </row>
    <row r="61" customFormat="false" ht="12.8" hidden="false" customHeight="false" outlineLevel="0" collapsed="false">
      <c r="A61" s="0" t="n">
        <v>58</v>
      </c>
      <c r="B61" s="0" t="s">
        <v>125</v>
      </c>
      <c r="C61" s="0" t="n">
        <v>78.63</v>
      </c>
    </row>
    <row r="62" customFormat="false" ht="12.8" hidden="false" customHeight="false" outlineLevel="0" collapsed="false">
      <c r="A62" s="0" t="n">
        <v>59</v>
      </c>
      <c r="B62" s="0" t="s">
        <v>40</v>
      </c>
      <c r="C62" s="0" t="n">
        <v>78.58</v>
      </c>
    </row>
    <row r="63" customFormat="false" ht="12.8" hidden="false" customHeight="false" outlineLevel="0" collapsed="false">
      <c r="A63" s="0" t="n">
        <v>60</v>
      </c>
      <c r="B63" s="0" t="s">
        <v>142</v>
      </c>
      <c r="C63" s="0" t="n">
        <v>78.34</v>
      </c>
    </row>
    <row r="64" customFormat="false" ht="12.8" hidden="false" customHeight="false" outlineLevel="0" collapsed="false">
      <c r="A64" s="0" t="n">
        <v>61</v>
      </c>
      <c r="B64" s="0" t="s">
        <v>169</v>
      </c>
      <c r="C64" s="0" t="n">
        <v>78.14</v>
      </c>
    </row>
    <row r="65" customFormat="false" ht="12.8" hidden="false" customHeight="false" outlineLevel="0" collapsed="false">
      <c r="A65" s="0" t="n">
        <v>62</v>
      </c>
      <c r="B65" s="0" t="s">
        <v>41</v>
      </c>
      <c r="C65" s="0" t="n">
        <v>78.08</v>
      </c>
    </row>
    <row r="66" customFormat="false" ht="12.8" hidden="false" customHeight="false" outlineLevel="0" collapsed="false">
      <c r="A66" s="0" t="n">
        <v>63</v>
      </c>
      <c r="B66" s="0" t="s">
        <v>484</v>
      </c>
      <c r="C66" s="0" t="n">
        <v>78.03</v>
      </c>
    </row>
    <row r="67" customFormat="false" ht="12.8" hidden="false" customHeight="false" outlineLevel="0" collapsed="false">
      <c r="A67" s="0" t="n">
        <v>64</v>
      </c>
      <c r="B67" s="0" t="s">
        <v>35</v>
      </c>
      <c r="C67" s="0" t="n">
        <v>77.95</v>
      </c>
    </row>
    <row r="68" customFormat="false" ht="12.8" hidden="false" customHeight="false" outlineLevel="0" collapsed="false">
      <c r="A68" s="0" t="n">
        <v>65</v>
      </c>
      <c r="B68" s="0" t="s">
        <v>22</v>
      </c>
      <c r="C68" s="0" t="n">
        <v>77.85</v>
      </c>
    </row>
    <row r="69" customFormat="false" ht="12.8" hidden="false" customHeight="false" outlineLevel="0" collapsed="false">
      <c r="A69" s="0" t="n">
        <v>66</v>
      </c>
      <c r="B69" s="0" t="s">
        <v>88</v>
      </c>
      <c r="C69" s="0" t="n">
        <v>77.82</v>
      </c>
    </row>
    <row r="70" customFormat="false" ht="12.8" hidden="false" customHeight="false" outlineLevel="0" collapsed="false">
      <c r="A70" s="0" t="n">
        <v>67</v>
      </c>
      <c r="B70" s="0" t="s">
        <v>80</v>
      </c>
      <c r="C70" s="0" t="n">
        <v>77.81</v>
      </c>
    </row>
    <row r="71" customFormat="false" ht="12.8" hidden="false" customHeight="false" outlineLevel="0" collapsed="false">
      <c r="A71" s="0" t="n">
        <v>68</v>
      </c>
      <c r="B71" s="0" t="s">
        <v>123</v>
      </c>
      <c r="C71" s="0" t="n">
        <v>77.74</v>
      </c>
    </row>
    <row r="72" customFormat="false" ht="12.8" hidden="false" customHeight="false" outlineLevel="0" collapsed="false">
      <c r="A72" s="0" t="n">
        <v>69</v>
      </c>
      <c r="B72" s="0" t="s">
        <v>36</v>
      </c>
      <c r="C72" s="0" t="n">
        <v>77.72</v>
      </c>
    </row>
    <row r="73" customFormat="false" ht="12.8" hidden="false" customHeight="false" outlineLevel="0" collapsed="false">
      <c r="A73" s="0" t="n">
        <v>70</v>
      </c>
      <c r="B73" s="0" t="s">
        <v>190</v>
      </c>
      <c r="C73" s="0" t="n">
        <v>77.65</v>
      </c>
    </row>
    <row r="74" customFormat="false" ht="12.8" hidden="false" customHeight="false" outlineLevel="0" collapsed="false">
      <c r="A74" s="0" t="n">
        <v>71</v>
      </c>
      <c r="B74" s="0" t="s">
        <v>260</v>
      </c>
      <c r="C74" s="0" t="n">
        <v>77.6</v>
      </c>
    </row>
    <row r="75" customFormat="false" ht="12.8" hidden="false" customHeight="false" outlineLevel="0" collapsed="false">
      <c r="A75" s="0" t="n">
        <v>72</v>
      </c>
      <c r="B75" s="0" t="s">
        <v>149</v>
      </c>
      <c r="C75" s="0" t="n">
        <v>77.48</v>
      </c>
    </row>
    <row r="76" customFormat="false" ht="12.8" hidden="false" customHeight="false" outlineLevel="0" collapsed="false">
      <c r="A76" s="0" t="n">
        <v>73</v>
      </c>
      <c r="B76" s="0" t="s">
        <v>7</v>
      </c>
      <c r="C76" s="0" t="n">
        <v>77.39</v>
      </c>
    </row>
    <row r="77" customFormat="false" ht="12.8" hidden="false" customHeight="false" outlineLevel="0" collapsed="false">
      <c r="A77" s="0" t="n">
        <v>74</v>
      </c>
      <c r="B77" s="0" t="s">
        <v>197</v>
      </c>
      <c r="C77" s="0" t="n">
        <v>77.39</v>
      </c>
    </row>
    <row r="78" customFormat="false" ht="12.8" hidden="false" customHeight="false" outlineLevel="0" collapsed="false">
      <c r="A78" s="0" t="n">
        <v>75</v>
      </c>
      <c r="B78" s="0" t="s">
        <v>48</v>
      </c>
      <c r="C78" s="0" t="n">
        <v>77.39</v>
      </c>
    </row>
    <row r="79" customFormat="false" ht="12.8" hidden="false" customHeight="false" outlineLevel="0" collapsed="false">
      <c r="A79" s="0" t="n">
        <v>76</v>
      </c>
      <c r="B79" s="0" t="s">
        <v>232</v>
      </c>
      <c r="C79" s="0" t="n">
        <v>77.21</v>
      </c>
    </row>
    <row r="80" customFormat="false" ht="12.8" hidden="false" customHeight="false" outlineLevel="0" collapsed="false">
      <c r="A80" s="0" t="n">
        <v>77</v>
      </c>
      <c r="B80" s="0" t="s">
        <v>161</v>
      </c>
      <c r="C80" s="0" t="n">
        <v>77.16</v>
      </c>
    </row>
    <row r="81" customFormat="false" ht="12.8" hidden="false" customHeight="false" outlineLevel="0" collapsed="false">
      <c r="A81" s="0" t="n">
        <v>78</v>
      </c>
      <c r="B81" s="0" t="s">
        <v>105</v>
      </c>
      <c r="C81" s="0" t="n">
        <v>77.09</v>
      </c>
    </row>
    <row r="82" customFormat="false" ht="12.8" hidden="false" customHeight="false" outlineLevel="0" collapsed="false">
      <c r="A82" s="0" t="n">
        <v>79</v>
      </c>
      <c r="B82" s="0" t="s">
        <v>69</v>
      </c>
      <c r="C82" s="0" t="n">
        <v>77.02</v>
      </c>
    </row>
    <row r="83" customFormat="false" ht="12.8" hidden="false" customHeight="false" outlineLevel="0" collapsed="false">
      <c r="A83" s="0" t="n">
        <v>80</v>
      </c>
      <c r="B83" s="0" t="s">
        <v>485</v>
      </c>
      <c r="C83" s="0" t="n">
        <v>76.98</v>
      </c>
    </row>
    <row r="84" customFormat="false" ht="12.8" hidden="false" customHeight="false" outlineLevel="0" collapsed="false">
      <c r="A84" s="0" t="n">
        <v>81</v>
      </c>
      <c r="B84" s="0" t="s">
        <v>486</v>
      </c>
      <c r="C84" s="0" t="n">
        <v>76.8</v>
      </c>
    </row>
    <row r="85" customFormat="false" ht="12.8" hidden="false" customHeight="false" outlineLevel="0" collapsed="false">
      <c r="A85" s="0" t="n">
        <v>82</v>
      </c>
      <c r="B85" s="0" t="s">
        <v>138</v>
      </c>
      <c r="C85" s="0" t="n">
        <v>76.77</v>
      </c>
    </row>
    <row r="86" customFormat="false" ht="12.8" hidden="false" customHeight="false" outlineLevel="0" collapsed="false">
      <c r="A86" s="0" t="n">
        <v>83</v>
      </c>
      <c r="B86" s="0" t="s">
        <v>96</v>
      </c>
      <c r="C86" s="0" t="n">
        <v>76.66</v>
      </c>
    </row>
    <row r="87" customFormat="false" ht="12.8" hidden="false" customHeight="false" outlineLevel="0" collapsed="false">
      <c r="A87" s="0" t="n">
        <v>84</v>
      </c>
      <c r="B87" s="0" t="s">
        <v>160</v>
      </c>
      <c r="C87" s="0" t="n">
        <v>76.51</v>
      </c>
    </row>
    <row r="88" customFormat="false" ht="12.8" hidden="false" customHeight="false" outlineLevel="0" collapsed="false">
      <c r="A88" s="0" t="n">
        <v>85</v>
      </c>
      <c r="B88" s="0" t="s">
        <v>157</v>
      </c>
      <c r="C88" s="0" t="n">
        <v>76.41</v>
      </c>
    </row>
    <row r="89" customFormat="false" ht="12.8" hidden="false" customHeight="false" outlineLevel="0" collapsed="false">
      <c r="A89" s="0" t="n">
        <v>86</v>
      </c>
      <c r="B89" s="0" t="s">
        <v>9</v>
      </c>
      <c r="C89" s="0" t="n">
        <v>76.35</v>
      </c>
    </row>
    <row r="90" customFormat="false" ht="12.8" hidden="false" customHeight="false" outlineLevel="0" collapsed="false">
      <c r="A90" s="0" t="n">
        <v>87</v>
      </c>
      <c r="B90" s="0" t="s">
        <v>4</v>
      </c>
      <c r="C90" s="0" t="n">
        <v>76.26</v>
      </c>
    </row>
    <row r="91" customFormat="false" ht="12.8" hidden="false" customHeight="false" outlineLevel="0" collapsed="false">
      <c r="A91" s="0" t="n">
        <v>88</v>
      </c>
      <c r="B91" s="0" t="s">
        <v>87</v>
      </c>
      <c r="C91" s="0" t="n">
        <v>76.19</v>
      </c>
    </row>
    <row r="92" customFormat="false" ht="12.8" hidden="false" customHeight="false" outlineLevel="0" collapsed="false">
      <c r="A92" s="0" t="n">
        <v>89</v>
      </c>
      <c r="B92" s="0" t="s">
        <v>15</v>
      </c>
      <c r="C92" s="0" t="n">
        <v>76.18</v>
      </c>
    </row>
    <row r="93" customFormat="false" ht="12.8" hidden="false" customHeight="false" outlineLevel="0" collapsed="false">
      <c r="A93" s="0" t="n">
        <v>90</v>
      </c>
      <c r="B93" s="0" t="s">
        <v>296</v>
      </c>
      <c r="C93" s="0" t="n">
        <v>76.06</v>
      </c>
    </row>
    <row r="94" customFormat="false" ht="12.8" hidden="false" customHeight="false" outlineLevel="0" collapsed="false">
      <c r="A94" s="0" t="n">
        <v>91</v>
      </c>
      <c r="B94" s="0" t="s">
        <v>487</v>
      </c>
      <c r="C94" s="0" t="n">
        <v>76.05</v>
      </c>
    </row>
    <row r="95" customFormat="false" ht="12.8" hidden="false" customHeight="false" outlineLevel="0" collapsed="false">
      <c r="A95" s="0" t="n">
        <v>92</v>
      </c>
      <c r="B95" s="0" t="s">
        <v>92</v>
      </c>
      <c r="C95" s="0" t="n">
        <v>76.03</v>
      </c>
    </row>
    <row r="96" customFormat="false" ht="12.8" hidden="false" customHeight="false" outlineLevel="0" collapsed="false">
      <c r="A96" s="0" t="n">
        <v>93</v>
      </c>
      <c r="B96" s="0" t="s">
        <v>131</v>
      </c>
      <c r="C96" s="0" t="n">
        <v>75.94</v>
      </c>
    </row>
    <row r="97" customFormat="false" ht="12.8" hidden="false" customHeight="false" outlineLevel="0" collapsed="false">
      <c r="A97" s="0" t="n">
        <v>94</v>
      </c>
      <c r="B97" s="0" t="s">
        <v>24</v>
      </c>
      <c r="C97" s="0" t="n">
        <v>75.85</v>
      </c>
    </row>
    <row r="98" customFormat="false" ht="12.8" hidden="false" customHeight="false" outlineLevel="0" collapsed="false">
      <c r="A98" s="0" t="n">
        <v>95</v>
      </c>
      <c r="B98" s="0" t="s">
        <v>8</v>
      </c>
      <c r="C98" s="0" t="n">
        <v>75.68</v>
      </c>
    </row>
    <row r="99" customFormat="false" ht="12.8" hidden="false" customHeight="false" outlineLevel="0" collapsed="false">
      <c r="A99" s="0" t="n">
        <v>96</v>
      </c>
      <c r="B99" s="0" t="s">
        <v>25</v>
      </c>
      <c r="C99" s="0" t="n">
        <v>75.64</v>
      </c>
    </row>
    <row r="100" customFormat="false" ht="12.8" hidden="false" customHeight="false" outlineLevel="0" collapsed="false">
      <c r="A100" s="0" t="n">
        <v>97</v>
      </c>
      <c r="B100" s="0" t="s">
        <v>488</v>
      </c>
      <c r="C100" s="0" t="n">
        <v>75.47</v>
      </c>
    </row>
    <row r="101" customFormat="false" ht="12.8" hidden="false" customHeight="false" outlineLevel="0" collapsed="false">
      <c r="A101" s="0" t="n">
        <v>98</v>
      </c>
      <c r="B101" s="0" t="s">
        <v>489</v>
      </c>
      <c r="C101" s="0" t="n">
        <v>75.33</v>
      </c>
    </row>
    <row r="102" customFormat="false" ht="12.8" hidden="false" customHeight="false" outlineLevel="0" collapsed="false">
      <c r="A102" s="0" t="n">
        <v>99</v>
      </c>
      <c r="B102" s="0" t="s">
        <v>106</v>
      </c>
      <c r="C102" s="0" t="n">
        <v>75.31</v>
      </c>
    </row>
    <row r="103" customFormat="false" ht="12.8" hidden="false" customHeight="false" outlineLevel="0" collapsed="false">
      <c r="A103" s="0" t="n">
        <v>100</v>
      </c>
      <c r="B103" s="0" t="s">
        <v>258</v>
      </c>
      <c r="C103" s="0" t="n">
        <v>75.2</v>
      </c>
    </row>
    <row r="104" customFormat="false" ht="12.8" hidden="false" customHeight="false" outlineLevel="0" collapsed="false">
      <c r="A104" s="0" t="n">
        <v>101</v>
      </c>
      <c r="B104" s="0" t="s">
        <v>102</v>
      </c>
      <c r="C104" s="0" t="n">
        <v>75.07</v>
      </c>
    </row>
    <row r="105" customFormat="false" ht="12.8" hidden="false" customHeight="false" outlineLevel="0" collapsed="false">
      <c r="A105" s="0" t="n">
        <v>102</v>
      </c>
      <c r="B105" s="0" t="s">
        <v>113</v>
      </c>
      <c r="C105" s="0" t="n">
        <v>74.95</v>
      </c>
    </row>
    <row r="106" customFormat="false" ht="12.8" hidden="false" customHeight="false" outlineLevel="0" collapsed="false">
      <c r="A106" s="0" t="n">
        <v>103</v>
      </c>
      <c r="B106" s="0" t="s">
        <v>101</v>
      </c>
      <c r="C106" s="0" t="n">
        <v>74.93</v>
      </c>
    </row>
    <row r="107" customFormat="false" ht="12.8" hidden="false" customHeight="false" outlineLevel="0" collapsed="false">
      <c r="A107" s="0" t="n">
        <v>104</v>
      </c>
      <c r="B107" s="0" t="s">
        <v>14</v>
      </c>
      <c r="C107" s="0" t="n">
        <v>74.67</v>
      </c>
    </row>
    <row r="108" customFormat="false" ht="12.8" hidden="false" customHeight="false" outlineLevel="0" collapsed="false">
      <c r="A108" s="0" t="n">
        <v>105</v>
      </c>
      <c r="B108" s="0" t="s">
        <v>218</v>
      </c>
      <c r="C108" s="0" t="n">
        <v>74.59</v>
      </c>
    </row>
    <row r="109" customFormat="false" ht="12.8" hidden="false" customHeight="false" outlineLevel="0" collapsed="false">
      <c r="A109" s="0" t="n">
        <v>106</v>
      </c>
      <c r="B109" s="0" t="s">
        <v>236</v>
      </c>
      <c r="C109" s="0" t="n">
        <v>74.55</v>
      </c>
    </row>
    <row r="110" customFormat="false" ht="12.8" hidden="false" customHeight="false" outlineLevel="0" collapsed="false">
      <c r="A110" s="0" t="n">
        <v>107</v>
      </c>
      <c r="B110" s="0" t="s">
        <v>59</v>
      </c>
      <c r="C110" s="0" t="n">
        <v>74.5</v>
      </c>
    </row>
    <row r="111" customFormat="false" ht="12.8" hidden="false" customHeight="false" outlineLevel="0" collapsed="false">
      <c r="A111" s="0" t="n">
        <v>108</v>
      </c>
      <c r="B111" s="0" t="s">
        <v>16</v>
      </c>
      <c r="C111" s="0" t="n">
        <v>74.43</v>
      </c>
    </row>
    <row r="112" customFormat="false" ht="12.8" hidden="false" customHeight="false" outlineLevel="0" collapsed="false">
      <c r="A112" s="0" t="n">
        <v>109</v>
      </c>
      <c r="B112" s="0" t="s">
        <v>12</v>
      </c>
      <c r="C112" s="0" t="n">
        <v>74.43</v>
      </c>
    </row>
    <row r="113" customFormat="false" ht="12.8" hidden="false" customHeight="false" outlineLevel="0" collapsed="false">
      <c r="A113" s="0" t="n">
        <v>110</v>
      </c>
      <c r="B113" s="0" t="s">
        <v>81</v>
      </c>
      <c r="C113" s="0" t="n">
        <v>74.4</v>
      </c>
    </row>
    <row r="114" customFormat="false" ht="12.8" hidden="false" customHeight="false" outlineLevel="0" collapsed="false">
      <c r="A114" s="0" t="n">
        <v>111</v>
      </c>
      <c r="B114" s="0" t="s">
        <v>122</v>
      </c>
      <c r="C114" s="0" t="n">
        <v>73.84</v>
      </c>
    </row>
    <row r="115" customFormat="false" ht="12.8" hidden="false" customHeight="false" outlineLevel="0" collapsed="false">
      <c r="A115" s="0" t="n">
        <v>112</v>
      </c>
      <c r="B115" s="0" t="s">
        <v>47</v>
      </c>
      <c r="C115" s="0" t="n">
        <v>73.72</v>
      </c>
    </row>
    <row r="116" customFormat="false" ht="12.8" hidden="false" customHeight="false" outlineLevel="0" collapsed="false">
      <c r="A116" s="0" t="n">
        <v>113</v>
      </c>
      <c r="B116" s="0" t="s">
        <v>490</v>
      </c>
      <c r="C116" s="0" t="n">
        <v>73.64</v>
      </c>
    </row>
    <row r="117" customFormat="false" ht="12.8" hidden="false" customHeight="false" outlineLevel="0" collapsed="false">
      <c r="A117" s="0" t="n">
        <v>114</v>
      </c>
      <c r="B117" s="0" t="s">
        <v>152</v>
      </c>
      <c r="C117" s="0" t="n">
        <v>73.63</v>
      </c>
    </row>
    <row r="118" customFormat="false" ht="12.8" hidden="false" customHeight="false" outlineLevel="0" collapsed="false">
      <c r="A118" s="0" t="n">
        <v>115</v>
      </c>
      <c r="B118" s="0" t="s">
        <v>18</v>
      </c>
      <c r="C118" s="0" t="n">
        <v>73.57</v>
      </c>
    </row>
    <row r="119" customFormat="false" ht="12.8" hidden="false" customHeight="false" outlineLevel="0" collapsed="false">
      <c r="A119" s="0" t="n">
        <v>116</v>
      </c>
      <c r="B119" s="0" t="s">
        <v>159</v>
      </c>
      <c r="C119" s="0" t="n">
        <v>73.49</v>
      </c>
    </row>
    <row r="120" customFormat="false" ht="12.8" hidden="false" customHeight="false" outlineLevel="0" collapsed="false">
      <c r="A120" s="0" t="n">
        <v>117</v>
      </c>
      <c r="B120" s="0" t="s">
        <v>164</v>
      </c>
      <c r="C120" s="0" t="n">
        <v>73.42</v>
      </c>
    </row>
    <row r="121" customFormat="false" ht="12.8" hidden="false" customHeight="false" outlineLevel="0" collapsed="false">
      <c r="A121" s="0" t="n">
        <v>118</v>
      </c>
      <c r="B121" s="0" t="s">
        <v>220</v>
      </c>
      <c r="C121" s="0" t="n">
        <v>73.17</v>
      </c>
    </row>
    <row r="122" customFormat="false" ht="12.8" hidden="false" customHeight="false" outlineLevel="0" collapsed="false">
      <c r="A122" s="0" t="n">
        <v>119</v>
      </c>
      <c r="B122" s="0" t="s">
        <v>208</v>
      </c>
      <c r="C122" s="0" t="n">
        <v>73.15</v>
      </c>
    </row>
    <row r="123" customFormat="false" ht="12.8" hidden="false" customHeight="false" outlineLevel="0" collapsed="false">
      <c r="A123" s="0" t="n">
        <v>120</v>
      </c>
      <c r="B123" s="0" t="s">
        <v>20</v>
      </c>
      <c r="C123" s="0" t="n">
        <v>72.97</v>
      </c>
    </row>
    <row r="124" customFormat="false" ht="12.8" hidden="false" customHeight="false" outlineLevel="0" collapsed="false">
      <c r="A124" s="0" t="n">
        <v>121</v>
      </c>
      <c r="B124" s="0" t="s">
        <v>234</v>
      </c>
      <c r="C124" s="0" t="n">
        <v>72.89</v>
      </c>
    </row>
    <row r="125" customFormat="false" ht="12.8" hidden="false" customHeight="false" outlineLevel="0" collapsed="false">
      <c r="A125" s="0" t="n">
        <v>122</v>
      </c>
      <c r="B125" s="0" t="s">
        <v>68</v>
      </c>
      <c r="C125" s="0" t="n">
        <v>72.88</v>
      </c>
    </row>
    <row r="126" customFormat="false" ht="12.8" hidden="false" customHeight="false" outlineLevel="0" collapsed="false">
      <c r="A126" s="0" t="n">
        <v>123</v>
      </c>
      <c r="B126" s="0" t="s">
        <v>139</v>
      </c>
      <c r="C126" s="0" t="n">
        <v>72.86</v>
      </c>
    </row>
    <row r="127" customFormat="false" ht="12.8" hidden="false" customHeight="false" outlineLevel="0" collapsed="false">
      <c r="A127" s="0" t="n">
        <v>124</v>
      </c>
      <c r="B127" s="0" t="s">
        <v>135</v>
      </c>
      <c r="C127" s="0" t="n">
        <v>72.7</v>
      </c>
    </row>
    <row r="128" customFormat="false" ht="12.8" hidden="false" customHeight="false" outlineLevel="0" collapsed="false">
      <c r="A128" s="0" t="n">
        <v>125</v>
      </c>
      <c r="B128" s="0" t="s">
        <v>63</v>
      </c>
      <c r="C128" s="0" t="n">
        <v>72.6</v>
      </c>
    </row>
    <row r="129" customFormat="false" ht="12.8" hidden="false" customHeight="false" outlineLevel="0" collapsed="false">
      <c r="A129" s="0" t="n">
        <v>126</v>
      </c>
      <c r="B129" s="0" t="s">
        <v>217</v>
      </c>
      <c r="C129" s="0" t="n">
        <v>72.51</v>
      </c>
    </row>
    <row r="130" customFormat="false" ht="12.8" hidden="false" customHeight="false" outlineLevel="0" collapsed="false">
      <c r="A130" s="0" t="n">
        <v>127</v>
      </c>
      <c r="B130" s="0" t="s">
        <v>170</v>
      </c>
      <c r="C130" s="0" t="n">
        <v>72.39</v>
      </c>
    </row>
    <row r="131" customFormat="false" ht="12.8" hidden="false" customHeight="false" outlineLevel="0" collapsed="false">
      <c r="A131" s="0" t="n">
        <v>128</v>
      </c>
      <c r="B131" s="0" t="s">
        <v>74</v>
      </c>
      <c r="C131" s="0" t="n">
        <v>72.32</v>
      </c>
    </row>
    <row r="132" customFormat="false" ht="12.8" hidden="false" customHeight="false" outlineLevel="0" collapsed="false">
      <c r="A132" s="0" t="n">
        <v>129</v>
      </c>
      <c r="B132" s="0" t="s">
        <v>491</v>
      </c>
      <c r="C132" s="0" t="n">
        <v>72.12</v>
      </c>
    </row>
    <row r="133" customFormat="false" ht="12.8" hidden="false" customHeight="false" outlineLevel="0" collapsed="false">
      <c r="A133" s="0" t="n">
        <v>130</v>
      </c>
      <c r="B133" s="0" t="s">
        <v>50</v>
      </c>
      <c r="C133" s="0" t="n">
        <v>72.1</v>
      </c>
    </row>
    <row r="134" customFormat="false" ht="12.8" hidden="false" customHeight="false" outlineLevel="0" collapsed="false">
      <c r="A134" s="0" t="n">
        <v>131</v>
      </c>
      <c r="B134" s="0" t="s">
        <v>71</v>
      </c>
      <c r="C134" s="0" t="n">
        <v>72</v>
      </c>
    </row>
    <row r="135" customFormat="false" ht="12.8" hidden="false" customHeight="false" outlineLevel="0" collapsed="false">
      <c r="A135" s="0" t="n">
        <v>132</v>
      </c>
      <c r="B135" s="0" t="s">
        <v>156</v>
      </c>
      <c r="C135" s="0" t="n">
        <v>71.79</v>
      </c>
    </row>
    <row r="136" customFormat="false" ht="12.8" hidden="false" customHeight="false" outlineLevel="0" collapsed="false">
      <c r="A136" s="0" t="n">
        <v>133</v>
      </c>
      <c r="B136" s="0" t="s">
        <v>104</v>
      </c>
      <c r="C136" s="0" t="n">
        <v>71.73</v>
      </c>
    </row>
    <row r="137" customFormat="false" ht="12.8" hidden="false" customHeight="false" outlineLevel="0" collapsed="false">
      <c r="A137" s="0" t="n">
        <v>134</v>
      </c>
      <c r="B137" s="0" t="s">
        <v>229</v>
      </c>
      <c r="C137" s="0" t="n">
        <v>71.7</v>
      </c>
    </row>
    <row r="138" customFormat="false" ht="12.8" hidden="false" customHeight="false" outlineLevel="0" collapsed="false">
      <c r="A138" s="0" t="n">
        <v>135</v>
      </c>
      <c r="B138" s="0" t="s">
        <v>85</v>
      </c>
      <c r="C138" s="0" t="n">
        <v>71.68</v>
      </c>
    </row>
    <row r="139" customFormat="false" ht="12.8" hidden="false" customHeight="false" outlineLevel="0" collapsed="false">
      <c r="A139" s="0" t="n">
        <v>136</v>
      </c>
      <c r="B139" s="0" t="s">
        <v>49</v>
      </c>
      <c r="C139" s="0" t="n">
        <v>71.63</v>
      </c>
    </row>
    <row r="140" customFormat="false" ht="12.8" hidden="false" customHeight="false" outlineLevel="0" collapsed="false">
      <c r="A140" s="0" t="n">
        <v>137</v>
      </c>
      <c r="B140" s="0" t="s">
        <v>78</v>
      </c>
      <c r="C140" s="0" t="n">
        <v>71.48</v>
      </c>
    </row>
    <row r="141" customFormat="false" ht="12.8" hidden="false" customHeight="false" outlineLevel="0" collapsed="false">
      <c r="A141" s="0" t="n">
        <v>138</v>
      </c>
      <c r="B141" s="0" t="s">
        <v>171</v>
      </c>
      <c r="C141" s="0" t="n">
        <v>71.48</v>
      </c>
    </row>
    <row r="142" customFormat="false" ht="12.8" hidden="false" customHeight="false" outlineLevel="0" collapsed="false">
      <c r="A142" s="0" t="n">
        <v>139</v>
      </c>
      <c r="B142" s="0" t="s">
        <v>492</v>
      </c>
      <c r="C142" s="0" t="n">
        <v>71.39</v>
      </c>
    </row>
    <row r="143" customFormat="false" ht="12.8" hidden="false" customHeight="false" outlineLevel="0" collapsed="false">
      <c r="A143" s="0" t="n">
        <v>140</v>
      </c>
      <c r="B143" s="0" t="s">
        <v>237</v>
      </c>
      <c r="C143" s="0" t="n">
        <v>71.23</v>
      </c>
    </row>
    <row r="144" customFormat="false" ht="12.8" hidden="false" customHeight="false" outlineLevel="0" collapsed="false">
      <c r="A144" s="0" t="n">
        <v>141</v>
      </c>
      <c r="B144" s="0" t="s">
        <v>493</v>
      </c>
      <c r="C144" s="0" t="n">
        <v>71.2</v>
      </c>
    </row>
    <row r="145" customFormat="false" ht="12.8" hidden="false" customHeight="false" outlineLevel="0" collapsed="false">
      <c r="A145" s="0" t="n">
        <v>142</v>
      </c>
      <c r="B145" s="0" t="s">
        <v>72</v>
      </c>
      <c r="C145" s="0" t="n">
        <v>71.15</v>
      </c>
    </row>
    <row r="146" customFormat="false" ht="12.8" hidden="false" customHeight="false" outlineLevel="0" collapsed="false">
      <c r="A146" s="0" t="n">
        <v>143</v>
      </c>
      <c r="B146" s="0" t="s">
        <v>241</v>
      </c>
      <c r="C146" s="0" t="n">
        <v>71.13</v>
      </c>
    </row>
    <row r="147" customFormat="false" ht="12.8" hidden="false" customHeight="false" outlineLevel="0" collapsed="false">
      <c r="A147" s="0" t="n">
        <v>144</v>
      </c>
      <c r="B147" s="0" t="s">
        <v>29</v>
      </c>
      <c r="C147" s="0" t="n">
        <v>70.67</v>
      </c>
    </row>
    <row r="148" customFormat="false" ht="12.8" hidden="false" customHeight="false" outlineLevel="0" collapsed="false">
      <c r="A148" s="0" t="n">
        <v>145</v>
      </c>
      <c r="B148" s="0" t="s">
        <v>144</v>
      </c>
      <c r="C148" s="0" t="n">
        <v>70.53</v>
      </c>
    </row>
    <row r="149" customFormat="false" ht="12.8" hidden="false" customHeight="false" outlineLevel="0" collapsed="false">
      <c r="A149" s="0" t="n">
        <v>146</v>
      </c>
      <c r="B149" s="0" t="s">
        <v>110</v>
      </c>
      <c r="C149" s="0" t="n">
        <v>70.35</v>
      </c>
    </row>
    <row r="150" customFormat="false" ht="12.8" hidden="false" customHeight="false" outlineLevel="0" collapsed="false">
      <c r="A150" s="0" t="n">
        <v>147</v>
      </c>
      <c r="B150" s="0" t="s">
        <v>66</v>
      </c>
      <c r="C150" s="0" t="n">
        <v>70.18</v>
      </c>
    </row>
    <row r="151" customFormat="false" ht="12.8" hidden="false" customHeight="false" outlineLevel="0" collapsed="false">
      <c r="A151" s="0" t="n">
        <v>148</v>
      </c>
      <c r="B151" s="0" t="s">
        <v>162</v>
      </c>
      <c r="C151" s="0" t="n">
        <v>70.07</v>
      </c>
    </row>
    <row r="152" customFormat="false" ht="12.8" hidden="false" customHeight="false" outlineLevel="0" collapsed="false">
      <c r="A152" s="0" t="n">
        <v>149</v>
      </c>
      <c r="B152" s="0" t="s">
        <v>231</v>
      </c>
      <c r="C152" s="0" t="n">
        <v>70.06</v>
      </c>
    </row>
    <row r="153" customFormat="false" ht="12.8" hidden="false" customHeight="false" outlineLevel="0" collapsed="false">
      <c r="A153" s="0" t="n">
        <v>150</v>
      </c>
      <c r="B153" s="0" t="s">
        <v>124</v>
      </c>
      <c r="C153" s="0" t="n">
        <v>69.83</v>
      </c>
    </row>
    <row r="154" customFormat="false" ht="12.8" hidden="false" customHeight="false" outlineLevel="0" collapsed="false">
      <c r="A154" s="0" t="n">
        <v>151</v>
      </c>
      <c r="B154" s="0" t="s">
        <v>494</v>
      </c>
      <c r="C154" s="0" t="n">
        <v>69.72</v>
      </c>
    </row>
    <row r="155" customFormat="false" ht="12.8" hidden="false" customHeight="false" outlineLevel="0" collapsed="false">
      <c r="A155" s="0" t="n">
        <v>152</v>
      </c>
      <c r="B155" s="0" t="s">
        <v>91</v>
      </c>
      <c r="C155" s="0" t="n">
        <v>69.34</v>
      </c>
    </row>
    <row r="156" customFormat="false" ht="12.8" hidden="false" customHeight="false" outlineLevel="0" collapsed="false">
      <c r="A156" s="0" t="n">
        <v>153</v>
      </c>
      <c r="B156" s="0" t="s">
        <v>174</v>
      </c>
      <c r="C156" s="0" t="n">
        <v>69.3</v>
      </c>
    </row>
    <row r="157" customFormat="false" ht="12.8" hidden="false" customHeight="false" outlineLevel="0" collapsed="false">
      <c r="A157" s="0" t="n">
        <v>154</v>
      </c>
      <c r="B157" s="0" t="s">
        <v>23</v>
      </c>
      <c r="C157" s="0" t="n">
        <v>69.16</v>
      </c>
    </row>
    <row r="158" customFormat="false" ht="12.8" hidden="false" customHeight="false" outlineLevel="0" collapsed="false">
      <c r="A158" s="0" t="n">
        <v>155</v>
      </c>
      <c r="B158" s="0" t="s">
        <v>495</v>
      </c>
      <c r="C158" s="0" t="n">
        <v>68.96</v>
      </c>
    </row>
    <row r="159" customFormat="false" ht="12.8" hidden="false" customHeight="false" outlineLevel="0" collapsed="false">
      <c r="A159" s="0" t="n">
        <v>156</v>
      </c>
      <c r="B159" s="0" t="s">
        <v>137</v>
      </c>
      <c r="C159" s="0" t="n">
        <v>68.68</v>
      </c>
    </row>
    <row r="160" customFormat="false" ht="12.8" hidden="false" customHeight="false" outlineLevel="0" collapsed="false">
      <c r="A160" s="0" t="n">
        <v>157</v>
      </c>
      <c r="B160" s="0" t="s">
        <v>52</v>
      </c>
      <c r="C160" s="0" t="n">
        <v>68.62</v>
      </c>
    </row>
    <row r="161" customFormat="false" ht="12.8" hidden="false" customHeight="false" outlineLevel="0" collapsed="false">
      <c r="A161" s="0" t="n">
        <v>158</v>
      </c>
      <c r="B161" s="0" t="s">
        <v>496</v>
      </c>
      <c r="C161" s="0" t="n">
        <v>68.58</v>
      </c>
    </row>
    <row r="162" customFormat="false" ht="12.8" hidden="false" customHeight="false" outlineLevel="0" collapsed="false">
      <c r="A162" s="0" t="n">
        <v>159</v>
      </c>
      <c r="B162" s="0" t="s">
        <v>100</v>
      </c>
      <c r="C162" s="0" t="n">
        <v>68.48</v>
      </c>
    </row>
    <row r="163" customFormat="false" ht="12.8" hidden="false" customHeight="false" outlineLevel="0" collapsed="false">
      <c r="A163" s="0" t="n">
        <v>160</v>
      </c>
      <c r="B163" s="0" t="s">
        <v>57</v>
      </c>
      <c r="C163" s="0" t="n">
        <v>68.34</v>
      </c>
    </row>
    <row r="164" customFormat="false" ht="12.8" hidden="false" customHeight="false" outlineLevel="0" collapsed="false">
      <c r="A164" s="0" t="n">
        <v>161</v>
      </c>
      <c r="B164" s="0" t="s">
        <v>163</v>
      </c>
      <c r="C164" s="0" t="n">
        <v>68.25</v>
      </c>
    </row>
    <row r="165" customFormat="false" ht="12.8" hidden="false" customHeight="false" outlineLevel="0" collapsed="false">
      <c r="A165" s="0" t="n">
        <v>162</v>
      </c>
      <c r="B165" s="0" t="s">
        <v>133</v>
      </c>
      <c r="C165" s="0" t="n">
        <v>67.78</v>
      </c>
    </row>
    <row r="166" customFormat="false" ht="12.8" hidden="false" customHeight="false" outlineLevel="0" collapsed="false">
      <c r="A166" s="0" t="n">
        <v>163</v>
      </c>
      <c r="B166" s="0" t="s">
        <v>259</v>
      </c>
      <c r="C166" s="0" t="n">
        <v>67.69</v>
      </c>
    </row>
    <row r="167" customFormat="false" ht="12.8" hidden="false" customHeight="false" outlineLevel="0" collapsed="false">
      <c r="A167" s="0" t="n">
        <v>164</v>
      </c>
      <c r="B167" s="0" t="s">
        <v>118</v>
      </c>
      <c r="C167" s="0" t="n">
        <v>67.65</v>
      </c>
    </row>
    <row r="168" customFormat="false" ht="12.8" hidden="false" customHeight="false" outlineLevel="0" collapsed="false">
      <c r="A168" s="0" t="n">
        <v>165</v>
      </c>
      <c r="B168" s="0" t="s">
        <v>109</v>
      </c>
      <c r="C168" s="0" t="n">
        <v>67.39</v>
      </c>
    </row>
    <row r="169" customFormat="false" ht="12.8" hidden="false" customHeight="false" outlineLevel="0" collapsed="false">
      <c r="A169" s="0" t="n">
        <v>166</v>
      </c>
      <c r="B169" s="0" t="s">
        <v>95</v>
      </c>
      <c r="C169" s="0" t="n">
        <v>67.35</v>
      </c>
    </row>
    <row r="170" customFormat="false" ht="12.8" hidden="false" customHeight="false" outlineLevel="0" collapsed="false">
      <c r="A170" s="0" t="n">
        <v>167</v>
      </c>
      <c r="B170" s="0" t="s">
        <v>235</v>
      </c>
      <c r="C170" s="0" t="n">
        <v>67.32</v>
      </c>
    </row>
    <row r="171" customFormat="false" ht="12.8" hidden="false" customHeight="false" outlineLevel="0" collapsed="false">
      <c r="A171" s="0" t="n">
        <v>168</v>
      </c>
      <c r="B171" s="0" t="s">
        <v>54</v>
      </c>
      <c r="C171" s="0" t="n">
        <v>67.31</v>
      </c>
    </row>
    <row r="172" customFormat="false" ht="12.8" hidden="false" customHeight="false" outlineLevel="0" collapsed="false">
      <c r="A172" s="0" t="n">
        <v>169</v>
      </c>
      <c r="B172" s="0" t="s">
        <v>497</v>
      </c>
      <c r="C172" s="0" t="n">
        <v>67.2</v>
      </c>
    </row>
    <row r="173" customFormat="false" ht="12.8" hidden="false" customHeight="false" outlineLevel="0" collapsed="false">
      <c r="A173" s="0" t="n">
        <v>170</v>
      </c>
      <c r="B173" s="0" t="s">
        <v>498</v>
      </c>
      <c r="C173" s="0" t="n">
        <v>67</v>
      </c>
    </row>
    <row r="174" customFormat="false" ht="12.8" hidden="false" customHeight="false" outlineLevel="0" collapsed="false">
      <c r="A174" s="0" t="n">
        <v>171</v>
      </c>
      <c r="B174" s="0" t="s">
        <v>108</v>
      </c>
      <c r="C174" s="0" t="n">
        <v>66.89</v>
      </c>
    </row>
    <row r="175" customFormat="false" ht="12.8" hidden="false" customHeight="false" outlineLevel="0" collapsed="false">
      <c r="A175" s="0" t="n">
        <v>172</v>
      </c>
      <c r="B175" s="0" t="s">
        <v>37</v>
      </c>
      <c r="C175" s="0" t="n">
        <v>66.78</v>
      </c>
    </row>
    <row r="176" customFormat="false" ht="12.8" hidden="false" customHeight="false" outlineLevel="0" collapsed="false">
      <c r="A176" s="0" t="n">
        <v>173</v>
      </c>
      <c r="B176" s="0" t="s">
        <v>238</v>
      </c>
      <c r="C176" s="0" t="n">
        <v>66.47</v>
      </c>
    </row>
    <row r="177" customFormat="false" ht="12.8" hidden="false" customHeight="false" outlineLevel="0" collapsed="false">
      <c r="A177" s="0" t="n">
        <v>174</v>
      </c>
      <c r="B177" s="0" t="s">
        <v>175</v>
      </c>
      <c r="C177" s="0" t="n">
        <v>66.35</v>
      </c>
    </row>
    <row r="178" customFormat="false" ht="12.8" hidden="false" customHeight="false" outlineLevel="0" collapsed="false">
      <c r="A178" s="0" t="n">
        <v>175</v>
      </c>
      <c r="B178" s="0" t="s">
        <v>151</v>
      </c>
      <c r="C178" s="0" t="n">
        <v>66.33</v>
      </c>
    </row>
    <row r="179" customFormat="false" ht="12.8" hidden="false" customHeight="false" outlineLevel="0" collapsed="false">
      <c r="A179" s="0" t="n">
        <v>176</v>
      </c>
      <c r="B179" s="0" t="s">
        <v>146</v>
      </c>
      <c r="C179" s="0" t="n">
        <v>66.14</v>
      </c>
    </row>
    <row r="180" customFormat="false" ht="12.8" hidden="false" customHeight="false" outlineLevel="0" collapsed="false">
      <c r="A180" s="0" t="n">
        <v>177</v>
      </c>
      <c r="B180" s="0" t="s">
        <v>121</v>
      </c>
      <c r="C180" s="0" t="n">
        <v>66.13</v>
      </c>
    </row>
    <row r="181" customFormat="false" ht="12.8" hidden="false" customHeight="false" outlineLevel="0" collapsed="false">
      <c r="A181" s="0" t="n">
        <v>178</v>
      </c>
      <c r="B181" s="0" t="s">
        <v>2</v>
      </c>
      <c r="C181" s="0" t="n">
        <v>66.03</v>
      </c>
    </row>
    <row r="182" customFormat="false" ht="12.8" hidden="false" customHeight="false" outlineLevel="0" collapsed="false">
      <c r="A182" s="0" t="n">
        <v>179</v>
      </c>
      <c r="B182" s="0" t="s">
        <v>250</v>
      </c>
      <c r="C182" s="0" t="n">
        <v>65.99</v>
      </c>
    </row>
    <row r="183" customFormat="false" ht="12.8" hidden="false" customHeight="false" outlineLevel="0" collapsed="false">
      <c r="A183" s="0" t="n">
        <v>180</v>
      </c>
      <c r="B183" s="0" t="s">
        <v>58</v>
      </c>
      <c r="C183" s="0" t="n">
        <v>65.86</v>
      </c>
    </row>
    <row r="184" customFormat="false" ht="12.8" hidden="false" customHeight="false" outlineLevel="0" collapsed="false">
      <c r="A184" s="0" t="n">
        <v>181</v>
      </c>
      <c r="B184" s="0" t="s">
        <v>38</v>
      </c>
      <c r="C184" s="0" t="n">
        <v>65.77</v>
      </c>
    </row>
    <row r="185" customFormat="false" ht="12.8" hidden="false" customHeight="false" outlineLevel="0" collapsed="false">
      <c r="A185" s="0" t="n">
        <v>182</v>
      </c>
      <c r="B185" s="0" t="s">
        <v>61</v>
      </c>
      <c r="C185" s="0" t="n">
        <v>65.5</v>
      </c>
    </row>
    <row r="186" customFormat="false" ht="12.8" hidden="false" customHeight="false" outlineLevel="0" collapsed="false">
      <c r="A186" s="0" t="n">
        <v>183</v>
      </c>
      <c r="B186" s="0" t="s">
        <v>230</v>
      </c>
      <c r="C186" s="0" t="n">
        <v>65.17</v>
      </c>
    </row>
    <row r="187" customFormat="false" ht="12.8" hidden="false" customHeight="false" outlineLevel="0" collapsed="false">
      <c r="A187" s="0" t="n">
        <v>184</v>
      </c>
      <c r="B187" s="0" t="s">
        <v>67</v>
      </c>
      <c r="C187" s="0" t="n">
        <v>64.94</v>
      </c>
    </row>
    <row r="188" customFormat="false" ht="12.8" hidden="false" customHeight="false" outlineLevel="0" collapsed="false">
      <c r="A188" s="0" t="n">
        <v>185</v>
      </c>
      <c r="B188" s="0" t="s">
        <v>6</v>
      </c>
      <c r="C188" s="0" t="n">
        <v>64.62</v>
      </c>
    </row>
    <row r="189" customFormat="false" ht="12.8" hidden="false" customHeight="false" outlineLevel="0" collapsed="false">
      <c r="A189" s="0" t="n">
        <v>186</v>
      </c>
      <c r="B189" s="0" t="s">
        <v>253</v>
      </c>
      <c r="C189" s="0" t="n">
        <v>64.12</v>
      </c>
    </row>
    <row r="190" customFormat="false" ht="12.8" hidden="false" customHeight="false" outlineLevel="0" collapsed="false">
      <c r="A190" s="0" t="n">
        <v>187</v>
      </c>
      <c r="B190" s="0" t="s">
        <v>65</v>
      </c>
      <c r="C190" s="0" t="n">
        <v>64.08</v>
      </c>
    </row>
    <row r="191" customFormat="false" ht="12.8" hidden="false" customHeight="false" outlineLevel="0" collapsed="false">
      <c r="A191" s="0" t="n">
        <v>188</v>
      </c>
      <c r="B191" s="0" t="s">
        <v>51</v>
      </c>
      <c r="C191" s="0" t="n">
        <v>63.71</v>
      </c>
    </row>
    <row r="192" customFormat="false" ht="12.8" hidden="false" customHeight="false" outlineLevel="0" collapsed="false">
      <c r="A192" s="0" t="n">
        <v>189</v>
      </c>
      <c r="B192" s="0" t="s">
        <v>30</v>
      </c>
      <c r="C192" s="0" t="n">
        <v>63.7</v>
      </c>
    </row>
    <row r="193" customFormat="false" ht="12.8" hidden="false" customHeight="false" outlineLevel="0" collapsed="false">
      <c r="A193" s="0" t="n">
        <v>190</v>
      </c>
      <c r="B193" s="0" t="s">
        <v>27</v>
      </c>
      <c r="C193" s="0" t="n">
        <v>63.65</v>
      </c>
    </row>
    <row r="194" customFormat="false" ht="12.8" hidden="false" customHeight="false" outlineLevel="0" collapsed="false">
      <c r="A194" s="0" t="n">
        <v>191</v>
      </c>
      <c r="B194" s="0" t="s">
        <v>82</v>
      </c>
      <c r="C194" s="0" t="n">
        <v>63.65</v>
      </c>
    </row>
    <row r="195" customFormat="false" ht="12.8" hidden="false" customHeight="false" outlineLevel="0" collapsed="false">
      <c r="A195" s="0" t="n">
        <v>192</v>
      </c>
      <c r="B195" s="0" t="s">
        <v>94</v>
      </c>
      <c r="C195" s="0" t="n">
        <v>63.63</v>
      </c>
    </row>
    <row r="196" customFormat="false" ht="12.8" hidden="false" customHeight="false" outlineLevel="0" collapsed="false">
      <c r="A196" s="0" t="n">
        <v>193</v>
      </c>
      <c r="B196" s="0" t="s">
        <v>107</v>
      </c>
      <c r="C196" s="0" t="n">
        <v>63.61</v>
      </c>
    </row>
    <row r="197" customFormat="false" ht="12.8" hidden="false" customHeight="false" outlineLevel="0" collapsed="false">
      <c r="A197" s="0" t="n">
        <v>194</v>
      </c>
      <c r="B197" s="0" t="s">
        <v>176</v>
      </c>
      <c r="C197" s="0" t="n">
        <v>62.77</v>
      </c>
    </row>
    <row r="198" customFormat="false" ht="12.8" hidden="false" customHeight="false" outlineLevel="0" collapsed="false">
      <c r="A198" s="0" t="n">
        <v>195</v>
      </c>
      <c r="B198" s="0" t="s">
        <v>158</v>
      </c>
      <c r="C198" s="0" t="n">
        <v>62.74</v>
      </c>
    </row>
    <row r="199" customFormat="false" ht="12.8" hidden="false" customHeight="false" outlineLevel="0" collapsed="false">
      <c r="A199" s="0" t="n">
        <v>196</v>
      </c>
      <c r="B199" s="0" t="s">
        <v>90</v>
      </c>
      <c r="C199" s="0" t="n">
        <v>62.16</v>
      </c>
    </row>
    <row r="200" customFormat="false" ht="12.8" hidden="false" customHeight="false" outlineLevel="0" collapsed="false">
      <c r="A200" s="0" t="n">
        <v>197</v>
      </c>
      <c r="B200" s="0" t="s">
        <v>499</v>
      </c>
      <c r="C200" s="0" t="n">
        <v>61.94</v>
      </c>
    </row>
    <row r="201" customFormat="false" ht="12.8" hidden="false" customHeight="false" outlineLevel="0" collapsed="false">
      <c r="A201" s="0" t="n">
        <v>198</v>
      </c>
      <c r="B201" s="0" t="s">
        <v>500</v>
      </c>
      <c r="C201" s="0" t="n">
        <v>61.9</v>
      </c>
    </row>
    <row r="202" customFormat="false" ht="12.8" hidden="false" customHeight="false" outlineLevel="0" collapsed="false">
      <c r="A202" s="0" t="n">
        <v>199</v>
      </c>
      <c r="B202" s="0" t="s">
        <v>140</v>
      </c>
      <c r="C202" s="0" t="n">
        <v>61.79</v>
      </c>
    </row>
    <row r="203" customFormat="false" ht="12.8" hidden="false" customHeight="false" outlineLevel="0" collapsed="false">
      <c r="A203" s="0" t="n">
        <v>200</v>
      </c>
      <c r="B203" s="0" t="s">
        <v>114</v>
      </c>
      <c r="C203" s="0" t="n">
        <v>61.18</v>
      </c>
    </row>
    <row r="204" customFormat="false" ht="12.8" hidden="false" customHeight="false" outlineLevel="0" collapsed="false">
      <c r="A204" s="0" t="n">
        <v>201</v>
      </c>
      <c r="B204" s="0" t="s">
        <v>26</v>
      </c>
      <c r="C204" s="0" t="n">
        <v>61.09</v>
      </c>
    </row>
    <row r="205" customFormat="false" ht="12.8" hidden="false" customHeight="false" outlineLevel="0" collapsed="false">
      <c r="A205" s="0" t="n">
        <v>202</v>
      </c>
      <c r="B205" s="0" t="s">
        <v>19</v>
      </c>
      <c r="C205" s="0" t="n">
        <v>60.77</v>
      </c>
    </row>
    <row r="206" customFormat="false" ht="12.8" hidden="false" customHeight="false" outlineLevel="0" collapsed="false">
      <c r="A206" s="0" t="n">
        <v>203</v>
      </c>
      <c r="B206" s="0" t="s">
        <v>64</v>
      </c>
      <c r="C206" s="0" t="n">
        <v>60.74</v>
      </c>
    </row>
    <row r="207" customFormat="false" ht="12.8" hidden="false" customHeight="false" outlineLevel="0" collapsed="false">
      <c r="A207" s="0" t="n">
        <v>204</v>
      </c>
      <c r="B207" s="0" t="s">
        <v>98</v>
      </c>
      <c r="C207" s="0" t="n">
        <v>60.44</v>
      </c>
    </row>
    <row r="208" customFormat="false" ht="12.8" hidden="false" customHeight="false" outlineLevel="0" collapsed="false">
      <c r="A208" s="0" t="n">
        <v>205</v>
      </c>
      <c r="B208" s="0" t="s">
        <v>145</v>
      </c>
      <c r="C208" s="0" t="n">
        <v>58.82</v>
      </c>
    </row>
    <row r="209" customFormat="false" ht="12.8" hidden="false" customHeight="false" outlineLevel="0" collapsed="false">
      <c r="A209" s="0" t="n">
        <v>206</v>
      </c>
      <c r="B209" s="0" t="s">
        <v>147</v>
      </c>
      <c r="C209" s="0" t="n">
        <v>57.62</v>
      </c>
    </row>
    <row r="210" customFormat="false" ht="12.8" hidden="false" customHeight="false" outlineLevel="0" collapsed="false">
      <c r="A210" s="0" t="n">
        <v>207</v>
      </c>
      <c r="B210" s="0" t="s">
        <v>32</v>
      </c>
      <c r="C210" s="0" t="n">
        <v>57.41</v>
      </c>
    </row>
    <row r="211" customFormat="false" ht="12.8" hidden="false" customHeight="false" outlineLevel="0" collapsed="false">
      <c r="A211" s="0" t="n">
        <v>208</v>
      </c>
      <c r="B211" s="0" t="s">
        <v>89</v>
      </c>
      <c r="C211" s="0" t="n">
        <v>57.38</v>
      </c>
    </row>
    <row r="212" customFormat="false" ht="12.8" hidden="false" customHeight="false" outlineLevel="0" collapsed="false">
      <c r="A212" s="0" t="n">
        <v>209</v>
      </c>
      <c r="B212" s="0" t="s">
        <v>33</v>
      </c>
      <c r="C212" s="0" t="n">
        <v>55.07</v>
      </c>
    </row>
    <row r="213" customFormat="false" ht="12.8" hidden="false" customHeight="false" outlineLevel="0" collapsed="false">
      <c r="A213" s="0" t="n">
        <v>210</v>
      </c>
      <c r="B213" s="0" t="s">
        <v>115</v>
      </c>
      <c r="C213" s="0" t="n">
        <v>54.46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2025-12-05T04:48:45Z</dcterms:modified>
  <cp:revision>5</cp:revision>
  <dc:subject/>
  <dc:title/>
</cp:coreProperties>
</file>